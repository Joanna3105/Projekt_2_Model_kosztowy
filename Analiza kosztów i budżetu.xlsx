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pivotCache/pivotCacheDefinition7.xml" ContentType="application/vnd.openxmlformats-officedocument.spreadsheetml.pivotCacheDefinition+xml"/>
  <Override PartName="/xl/pivotCache/pivotCacheDefinition8.xml" ContentType="application/vnd.openxmlformats-officedocument.spreadsheetml.pivotCacheDefinition+xml"/>
  <Override PartName="/xl/pivotCache/pivotCacheDefinition9.xml" ContentType="application/vnd.openxmlformats-officedocument.spreadsheetml.pivotCacheDefinition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pivotCache/pivotCacheDefinition10.xml" ContentType="application/vnd.openxmlformats-officedocument.spreadsheetml.pivotCacheDefinition+xml"/>
  <Override PartName="/xl/timelineCaches/timelineCache1.xml" ContentType="application/vnd.ms-excel.timeline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timelines/timeline1.xml" ContentType="application/vnd.ms-excel.timelin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customXml/itemProps23.xml" ContentType="application/vnd.openxmlformats-officedocument.customXmlProperties+xml"/>
  <Override PartName="/customXml/itemProps24.xml" ContentType="application/vnd.openxmlformats-officedocument.customXmlProperties+xml"/>
  <Override PartName="/customXml/itemProps25.xml" ContentType="application/vnd.openxmlformats-officedocument.customXmlProperties+xml"/>
  <Override PartName="/customXml/itemProps26.xml" ContentType="application/vnd.openxmlformats-officedocument.customXmlProperties+xml"/>
  <Override PartName="/customXml/itemProps27.xml" ContentType="application/vnd.openxmlformats-officedocument.customXmlProperties+xml"/>
  <Override PartName="/customXml/itemProps28.xml" ContentType="application/vnd.openxmlformats-officedocument.customXmlProperties+xml"/>
  <Override PartName="/customXml/itemProps29.xml" ContentType="application/vnd.openxmlformats-officedocument.customXmlProperties+xml"/>
  <Override PartName="/customXml/itemProps30.xml" ContentType="application/vnd.openxmlformats-officedocument.customXmlProperties+xml"/>
  <Override PartName="/customXml/itemProps31.xml" ContentType="application/vnd.openxmlformats-officedocument.customXmlProperties+xml"/>
  <Override PartName="/customXml/itemProps32.xml" ContentType="application/vnd.openxmlformats-officedocument.customXmlProperties+xml"/>
  <Override PartName="/customXml/itemProps3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183729f571f0b1f8/Pulpit/ETNA/KURSIKI/10. POWER PRO/dane/Model kosztowy/"/>
    </mc:Choice>
  </mc:AlternateContent>
  <xr:revisionPtr revIDLastSave="0" documentId="8_{E22F0CF4-6478-482E-8D49-DBC62539F19B}" xr6:coauthVersionLast="47" xr6:coauthVersionMax="47" xr10:uidLastSave="{00000000-0000-0000-0000-000000000000}"/>
  <bookViews>
    <workbookView xWindow="28680" yWindow="840" windowWidth="29040" windowHeight="15720" xr2:uid="{00000000-000D-0000-FFFF-FFFF00000000}"/>
  </bookViews>
  <sheets>
    <sheet name="Dashbord" sheetId="1" r:id="rId1"/>
    <sheet name="Wnioski" sheetId="5" r:id="rId2"/>
    <sheet name="Pomocniczy" sheetId="4" r:id="rId3"/>
  </sheets>
  <definedNames>
    <definedName name="Fragmentator_Dysponent">#N/A</definedName>
    <definedName name="Fragmentator_Grupa_kosztowa">#N/A</definedName>
    <definedName name="Fragmentator_MPK">#N/A</definedName>
    <definedName name="OśCzasu_Data">#N/A</definedName>
  </definedNames>
  <calcPr calcId="191029"/>
  <pivotCaches>
    <pivotCache cacheId="0" r:id="rId4"/>
    <pivotCache cacheId="1" r:id="rId5"/>
    <pivotCache cacheId="2" r:id="rId6"/>
    <pivotCache cacheId="3" r:id="rId7"/>
    <pivotCache cacheId="4" r:id="rId8"/>
    <pivotCache cacheId="5" r:id="rId9"/>
    <pivotCache cacheId="6" r:id="rId10"/>
    <pivotCache cacheId="7" r:id="rId11"/>
  </pivotCaches>
  <extLst>
    <ext xmlns:x14="http://schemas.microsoft.com/office/spreadsheetml/2009/9/main" uri="{876F7934-8845-4945-9796-88D515C7AA90}">
      <x14:pivotCaches>
        <pivotCache cacheId="8" r:id="rId12"/>
      </x14:pivotCaches>
    </ext>
    <ext xmlns:x14="http://schemas.microsoft.com/office/spreadsheetml/2009/9/main" uri="{BBE1A952-AA13-448e-AADC-164F8A28A991}">
      <x14:slicerCaches>
        <x14:slicerCache r:id="rId13"/>
        <x14:slicerCache r:id="rId14"/>
        <x14:slicerCache r:id="rId15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A2CB5862-8E78-49c6-8D9D-AF26E26ADB89}">
      <x15:timelineCachePivotCaches>
        <pivotCache cacheId="9" r:id="rId16"/>
      </x15:timelineCachePivotCaches>
    </ext>
    <ext xmlns:x15="http://schemas.microsoft.com/office/spreadsheetml/2010/11/main" uri="{D0CA8CA8-9F24-4464-BF8E-62219DCF47F9}">
      <x15:timelineCacheRefs>
        <x15:timelineCacheRef r:id="rId17"/>
      </x15:timelineCacheRefs>
    </ex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Budżet_01f4b5a6-cc20-4fe6-aa13-2bcfcaa22ddc" name="Budżet" connection="Zapytanie — Budżet"/>
          <x15:modelTable id="Koszty_1a1fdc0d-6ece-4385-b28d-77c1cee63694" name="Koszty" connection="Zapytanie — Koszty"/>
          <x15:modelTable id="Plan kont_0b8c6ef7-7959-4cd6-a027-005f4b301f11" name="Plan kont" connection="Zapytanie — Plan kont"/>
          <x15:modelTable id="Kalendarz_7605c8e0-01f9-4287-a330-5052dfeec84e" name="Kalendarz" connection="Zapytanie — Kalendarz"/>
        </x15:modelTables>
        <x15:modelRelationships>
          <x15:modelRelationship fromTable="Budżet" fromColumn="Data" toTable="Kalendarz" toColumn="Data"/>
          <x15:modelRelationship fromTable="Budżet" fromColumn="Konto" toTable="Plan kont" toColumn="Konto"/>
          <x15:modelRelationship fromTable="Koszty" fromColumn="Data" toTable="Kalendarz" toColumn="Data"/>
          <x15:modelRelationship fromTable="Koszty" fromColumn="Konto" toTable="Plan kont" toColumn="Konto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2" i="1" l="1"/>
  <c r="H17" i="1"/>
  <c r="F17" i="1"/>
  <c r="H2" i="1"/>
  <c r="C63" i="4"/>
  <c r="H12" i="1"/>
  <c r="F7" i="1"/>
  <c r="H7" i="1"/>
  <c r="A63" i="4"/>
  <c r="B63" i="4"/>
  <c r="F13" i="1" l="1"/>
  <c r="F8" i="1"/>
  <c r="F18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EC00C9E-10BB-41E7-B56D-50CDD0E7AF3B}" keepAlive="1" name="ThisWorkbookDataModel" description="Model danych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345AE257-4F3D-49E6-B635-13F28EC6CEEE}" name="Zapytanie — Budżet" description="Połączenie z zapytaniem „Budżet” w skoroszycie." type="100" refreshedVersion="8" minRefreshableVersion="5">
    <extLst>
      <ext xmlns:x15="http://schemas.microsoft.com/office/spreadsheetml/2010/11/main" uri="{DE250136-89BD-433C-8126-D09CA5730AF9}">
        <x15:connection id="e7944762-ab46-43a9-b5ce-0d42ecf9a285"/>
      </ext>
    </extLst>
  </connection>
  <connection id="3" xr16:uid="{E1BBA11B-A16A-4502-9D4E-B077682600E7}" name="Zapytanie — Kalendarz" description="Połączenie z zapytaniem „Kalendarz” w skoroszycie." type="100" refreshedVersion="8" minRefreshableVersion="5">
    <extLst>
      <ext xmlns:x15="http://schemas.microsoft.com/office/spreadsheetml/2010/11/main" uri="{DE250136-89BD-433C-8126-D09CA5730AF9}">
        <x15:connection id="df21659e-7a7e-4005-925f-6d78401550a8"/>
      </ext>
    </extLst>
  </connection>
  <connection id="4" xr16:uid="{57261465-5687-4E3B-9E15-421938AE5432}" name="Zapytanie — Koszty" description="Połączenie z zapytaniem „Koszty” w skoroszycie." type="100" refreshedVersion="8" minRefreshableVersion="5">
    <extLst>
      <ext xmlns:x15="http://schemas.microsoft.com/office/spreadsheetml/2010/11/main" uri="{DE250136-89BD-433C-8126-D09CA5730AF9}">
        <x15:connection id="83736aff-b914-40da-ad5f-e9bcf0d682c5"/>
      </ext>
    </extLst>
  </connection>
  <connection id="5" xr16:uid="{857CFF55-930F-40F4-88D9-062E69CE6C86}" name="Zapytanie — Plan kont" description="Połączenie z zapytaniem „Plan kont” w skoroszycie." type="100" refreshedVersion="8" minRefreshableVersion="5">
    <extLst>
      <ext xmlns:x15="http://schemas.microsoft.com/office/spreadsheetml/2010/11/main" uri="{DE250136-89BD-433C-8126-D09CA5730AF9}">
        <x15:connection id="93ccdad2-38ac-43ab-8ebc-8834d7de1063"/>
      </ext>
    </extLst>
  </connection>
</connections>
</file>

<file path=xl/sharedStrings.xml><?xml version="1.0" encoding="utf-8"?>
<sst xmlns="http://schemas.openxmlformats.org/spreadsheetml/2006/main" count="135" uniqueCount="90">
  <si>
    <t>Etykiety wierszy</t>
  </si>
  <si>
    <t>301 Zakład nr 1</t>
  </si>
  <si>
    <t>302 Zakład nr 2</t>
  </si>
  <si>
    <t>303 Zakład nr 3</t>
  </si>
  <si>
    <t>305 Zakład nr 5</t>
  </si>
  <si>
    <t>306 Zakład nr 6</t>
  </si>
  <si>
    <t>308 Zakład nr 8</t>
  </si>
  <si>
    <t>309 Zakład nr 9</t>
  </si>
  <si>
    <t>411 Dział nieruchomości</t>
  </si>
  <si>
    <t>412 Dział techniczny</t>
  </si>
  <si>
    <t>513 Dział marketingu</t>
  </si>
  <si>
    <t>517 Administracja</t>
  </si>
  <si>
    <t>518 Dział inwestycyjny</t>
  </si>
  <si>
    <t>521 Zarząd</t>
  </si>
  <si>
    <t>Suma końcowa</t>
  </si>
  <si>
    <t>czerwiec</t>
  </si>
  <si>
    <t>grudzień</t>
  </si>
  <si>
    <t>kwiecień</t>
  </si>
  <si>
    <t>lipiec</t>
  </si>
  <si>
    <t>listopad</t>
  </si>
  <si>
    <t>luty</t>
  </si>
  <si>
    <t>maj</t>
  </si>
  <si>
    <t>marzec</t>
  </si>
  <si>
    <t>październik</t>
  </si>
  <si>
    <t>sierpień</t>
  </si>
  <si>
    <t>styczeń</t>
  </si>
  <si>
    <t>wrzesień</t>
  </si>
  <si>
    <t>M05.Koszty 2026</t>
  </si>
  <si>
    <t>M06.Budżet 2026</t>
  </si>
  <si>
    <t>M07.Odchylenie 2026</t>
  </si>
  <si>
    <t>M08.Realizacja 2026</t>
  </si>
  <si>
    <t>01 Amortyzacja</t>
  </si>
  <si>
    <t>02 Materiały</t>
  </si>
  <si>
    <t>03 Usługi</t>
  </si>
  <si>
    <t>04 Podatki i opłaty</t>
  </si>
  <si>
    <t>05 Wynagrodzenia</t>
  </si>
  <si>
    <t>06 ZUS i inne świadczenia</t>
  </si>
  <si>
    <t>08 Reklama i marketing</t>
  </si>
  <si>
    <t>09 Pozostałe koszty rodzajowe</t>
  </si>
  <si>
    <t>MPK</t>
  </si>
  <si>
    <t>M09.Koszty 2025</t>
  </si>
  <si>
    <t>Koszty 2026</t>
  </si>
  <si>
    <t>Budżet 2026</t>
  </si>
  <si>
    <t>Realizacja</t>
  </si>
  <si>
    <t>Odchylenie procentowe</t>
  </si>
  <si>
    <t>Odchylenie wartościowe</t>
  </si>
  <si>
    <t>Koszty 2025</t>
  </si>
  <si>
    <t>Alert1</t>
  </si>
  <si>
    <t>Alert2</t>
  </si>
  <si>
    <t>Koszty YoY</t>
  </si>
  <si>
    <t>Wykres odchyl. proc.</t>
  </si>
  <si>
    <t>2026-01</t>
  </si>
  <si>
    <t>2026-02</t>
  </si>
  <si>
    <t>2026-03</t>
  </si>
  <si>
    <t>2026-04</t>
  </si>
  <si>
    <t>2026-05</t>
  </si>
  <si>
    <t>2026-06</t>
  </si>
  <si>
    <t>2026-07</t>
  </si>
  <si>
    <t>2026-08</t>
  </si>
  <si>
    <t>2026-09</t>
  </si>
  <si>
    <t>2026-10</t>
  </si>
  <si>
    <t>2026-11</t>
  </si>
  <si>
    <t>2026-12</t>
  </si>
  <si>
    <t>M13.Budżet YTD</t>
  </si>
  <si>
    <t>M14.Koszty YTD</t>
  </si>
  <si>
    <t>Analiza kosztów i budżetu 2026</t>
  </si>
  <si>
    <t>Odchylenie (PLN)</t>
  </si>
  <si>
    <t>Wykonenie budżetu</t>
  </si>
  <si>
    <t>M15.Max Odchylenie MPK</t>
  </si>
  <si>
    <t>M16.Min Odchylenie MPK</t>
  </si>
  <si>
    <t>M17.Max Koszty Grupa</t>
  </si>
  <si>
    <t>Koszty 2026 (PLN)</t>
  </si>
  <si>
    <t>Budżet 2026 (PLN)</t>
  </si>
  <si>
    <t>Największe przekroczenie budżetu (PLN):</t>
  </si>
  <si>
    <t>Największa oszczędność (PLN):</t>
  </si>
  <si>
    <t>Największy koszt (PLN):</t>
  </si>
  <si>
    <t>MPK:</t>
  </si>
  <si>
    <t>Grupa kosztowa:</t>
  </si>
  <si>
    <t>Wnioski:</t>
  </si>
  <si>
    <t>- Trend kosztów rośnie w czasie: koszty YTD rosną szybciej niż budżet, szczególnie w drugiej części roku. Możliwy problem z kontrolą kosztów w czasie</t>
  </si>
  <si>
    <t>Rekomendacje:</t>
  </si>
  <si>
    <r>
      <t xml:space="preserve">- Główny driver kosztów: Usługi: </t>
    </r>
    <r>
      <rPr>
        <b/>
        <sz val="14"/>
        <color theme="1"/>
        <rFont val="Calibri"/>
        <family val="2"/>
        <charset val="238"/>
        <scheme val="minor"/>
      </rPr>
      <t xml:space="preserve">11,4 mln </t>
    </r>
    <r>
      <rPr>
        <sz val="14"/>
        <color theme="1"/>
        <rFont val="Calibri"/>
        <family val="2"/>
        <scheme val="minor"/>
      </rPr>
      <t>PLN (największa grupa kosztowa, największy wpływ na budżet)</t>
    </r>
  </si>
  <si>
    <r>
      <t>- Największe przekroczenia MPK:</t>
    </r>
    <r>
      <rPr>
        <b/>
        <sz val="14"/>
        <color theme="1"/>
        <rFont val="Calibri"/>
        <family val="2"/>
        <charset val="238"/>
        <scheme val="minor"/>
      </rPr>
      <t xml:space="preserve"> 521 Zarząd</t>
    </r>
    <r>
      <rPr>
        <sz val="14"/>
        <color theme="1"/>
        <rFont val="Calibri"/>
        <family val="2"/>
        <scheme val="minor"/>
      </rPr>
      <t xml:space="preserve"> (największe odchylenie +3,7 mln) i </t>
    </r>
    <r>
      <rPr>
        <b/>
        <sz val="14"/>
        <color theme="1"/>
        <rFont val="Calibri"/>
        <family val="2"/>
        <charset val="238"/>
        <scheme val="minor"/>
      </rPr>
      <t xml:space="preserve">301 Zakład nr 1 </t>
    </r>
    <r>
      <rPr>
        <sz val="14"/>
        <color theme="1"/>
        <rFont val="Calibri"/>
        <family val="2"/>
        <scheme val="minor"/>
      </rPr>
      <t>(2,5 mln) - problem jest skoncentrowany tutaj</t>
    </r>
  </si>
  <si>
    <r>
      <t xml:space="preserve">- Największe oszczędności MPK: </t>
    </r>
    <r>
      <rPr>
        <b/>
        <sz val="14"/>
        <color theme="1"/>
        <rFont val="Calibri"/>
        <family val="2"/>
        <charset val="238"/>
        <scheme val="minor"/>
      </rPr>
      <t>Zakład nr 3</t>
    </r>
    <r>
      <rPr>
        <sz val="14"/>
        <color theme="1"/>
        <rFont val="Calibri"/>
        <family val="2"/>
        <scheme val="minor"/>
      </rPr>
      <t xml:space="preserve"> - jednostka najlepszych praktyk, którą warto analizować</t>
    </r>
  </si>
  <si>
    <t>- Należy wzmocnić kontrolę kosztów w MPK o najwyższych odchylaniach - wdrożyć comiesięcznt monitoring odchyleń na poziomie MPK z automatycznym alertowaniem przekroczeń powyżej ustalonego progu (np. +10%).</t>
  </si>
  <si>
    <t xml:space="preserve">- Grupa kosztowa „Usługi” generuje największy udział w kosztach całkowitych. Zaleca się dokonać analizy przyczyn wzrostu kosztów w grupie „Usługi”. </t>
  </si>
  <si>
    <t>- Przeprowadzić standaryzację i kontrolę kosztów w jednostkach przekraczających budżet.</t>
  </si>
  <si>
    <t>- Koszty rosną szybciej niż budżet w trakcie roku. Dodać prognozę wykonania budżetu, aby wcześniej identyfikować ryzyko przekroczenia budżetu.</t>
  </si>
  <si>
    <t>- Zaleca się utrzymać i rozwinąć analizę MPK.</t>
  </si>
  <si>
    <r>
      <t xml:space="preserve">- Budżet jest znacząco przekroczony. 
Odchylenie: ok. </t>
    </r>
    <r>
      <rPr>
        <b/>
        <sz val="18"/>
        <color theme="1"/>
        <rFont val="Calibri"/>
        <family val="2"/>
        <scheme val="minor"/>
      </rPr>
      <t xml:space="preserve">6,1 mln </t>
    </r>
    <r>
      <rPr>
        <sz val="18"/>
        <color theme="1"/>
        <rFont val="Calibri"/>
        <family val="2"/>
        <scheme val="minor"/>
      </rPr>
      <t>PLN. Wykonanie</t>
    </r>
    <r>
      <rPr>
        <b/>
        <sz val="18"/>
        <color theme="1"/>
        <rFont val="Calibri"/>
        <family val="2"/>
        <scheme val="minor"/>
      </rPr>
      <t xml:space="preserve"> 130%</t>
    </r>
    <r>
      <rPr>
        <sz val="18"/>
        <color theme="1"/>
        <rFont val="Calibri"/>
        <family val="2"/>
        <scheme val="minor"/>
      </rPr>
      <t>. Organizacja ma problem z kontrolą kosztów.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</si>
</sst>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164" formatCode="0.00%;\-0.00%;0.00%"/>
    <numFmt numFmtId="165" formatCode="0.0"/>
    <numFmt numFmtId="166" formatCode="#,##0.0,,&quot; mln&quot;"/>
    <numFmt numFmtId="167" formatCode="###,###,##0.00"/>
    <numFmt numFmtId="168" formatCode="###,###,##0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4"/>
      <color theme="1" tint="0.24997711111789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theme="3"/>
      <name val="Calibri"/>
      <family val="2"/>
      <scheme val="minor"/>
    </font>
    <font>
      <b/>
      <sz val="24"/>
      <color theme="0"/>
      <name val="Calibri"/>
      <family val="2"/>
      <charset val="238"/>
      <scheme val="minor"/>
    </font>
    <font>
      <b/>
      <sz val="24"/>
      <color rgb="FF1F2A44"/>
      <name val="Calibri"/>
      <family val="2"/>
      <scheme val="minor"/>
    </font>
    <font>
      <sz val="14"/>
      <color rgb="FF1F2A44"/>
      <name val="Calibri"/>
      <family val="2"/>
      <scheme val="minor"/>
    </font>
    <font>
      <b/>
      <sz val="18"/>
      <color rgb="FF1F2A44"/>
      <name val="Calibri"/>
      <family val="2"/>
      <scheme val="minor"/>
    </font>
    <font>
      <b/>
      <sz val="36"/>
      <color rgb="FF1F2A44"/>
      <name val="Calibri"/>
      <family val="2"/>
      <charset val="238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charset val="238"/>
      <scheme val="minor"/>
    </font>
    <font>
      <b/>
      <sz val="18"/>
      <color theme="1"/>
      <name val="Calibri"/>
      <family val="2"/>
      <scheme val="minor"/>
    </font>
    <font>
      <sz val="1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5F6F8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thin">
        <color theme="2" tint="-0.249977111117893"/>
      </left>
      <right/>
      <top style="thin">
        <color theme="2" tint="-0.249977111117893"/>
      </top>
      <bottom/>
      <diagonal/>
    </border>
    <border>
      <left/>
      <right/>
      <top style="thin">
        <color theme="2" tint="-0.249977111117893"/>
      </top>
      <bottom/>
      <diagonal/>
    </border>
    <border>
      <left/>
      <right style="thin">
        <color theme="2" tint="-0.249977111117893"/>
      </right>
      <top style="thin">
        <color theme="2" tint="-0.249977111117893"/>
      </top>
      <bottom/>
      <diagonal/>
    </border>
    <border>
      <left style="thin">
        <color theme="2" tint="-0.249977111117893"/>
      </left>
      <right/>
      <top/>
      <bottom/>
      <diagonal/>
    </border>
    <border>
      <left/>
      <right style="thin">
        <color theme="2" tint="-0.249977111117893"/>
      </right>
      <top/>
      <bottom/>
      <diagonal/>
    </border>
    <border>
      <left style="thin">
        <color theme="2" tint="-0.249977111117893"/>
      </left>
      <right/>
      <top/>
      <bottom style="thin">
        <color theme="2" tint="-0.249977111117893"/>
      </bottom>
      <diagonal/>
    </border>
    <border>
      <left/>
      <right/>
      <top/>
      <bottom style="thin">
        <color theme="2" tint="-0.249977111117893"/>
      </bottom>
      <diagonal/>
    </border>
    <border>
      <left/>
      <right style="thin">
        <color theme="2" tint="-0.249977111117893"/>
      </right>
      <top/>
      <bottom style="thin">
        <color theme="2" tint="-0.249977111117893"/>
      </bottom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/>
      <diagonal/>
    </border>
    <border>
      <left style="thin">
        <color theme="2" tint="-0.249977111117893"/>
      </left>
      <right style="thin">
        <color theme="2" tint="-0.249977111117893"/>
      </right>
      <top/>
      <bottom/>
      <diagonal/>
    </border>
    <border>
      <left style="thin">
        <color theme="2" tint="-0.249977111117893"/>
      </left>
      <right style="thin">
        <color theme="2" tint="-0.249977111117893"/>
      </right>
      <top/>
      <bottom style="thin">
        <color theme="2" tint="-0.249977111117893"/>
      </bottom>
      <diagonal/>
    </border>
    <border>
      <left style="thin">
        <color theme="2" tint="-0.249977111117893"/>
      </left>
      <right/>
      <top style="thin">
        <color theme="2" tint="-0.249977111117893"/>
      </top>
      <bottom style="thin">
        <color theme="2" tint="-0.249977111117893"/>
      </bottom>
      <diagonal/>
    </border>
    <border>
      <left/>
      <right/>
      <top style="thin">
        <color theme="2" tint="-0.249977111117893"/>
      </top>
      <bottom style="thin">
        <color theme="2" tint="-0.249977111117893"/>
      </bottom>
      <diagonal/>
    </border>
    <border>
      <left/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2" fontId="0" fillId="0" borderId="0" xfId="0" applyNumberFormat="1"/>
    <xf numFmtId="164" fontId="0" fillId="0" borderId="0" xfId="0" applyNumberFormat="1"/>
    <xf numFmtId="9" fontId="0" fillId="2" borderId="0" xfId="1" applyFont="1" applyFill="1" applyBorder="1"/>
    <xf numFmtId="0" fontId="0" fillId="2" borderId="0" xfId="0" applyFill="1"/>
    <xf numFmtId="0" fontId="0" fillId="2" borderId="0" xfId="0" applyFill="1" applyAlignment="1">
      <alignment horizontal="right"/>
    </xf>
    <xf numFmtId="166" fontId="0" fillId="2" borderId="0" xfId="0" applyNumberFormat="1" applyFill="1"/>
    <xf numFmtId="0" fontId="0" fillId="2" borderId="2" xfId="0" applyFill="1" applyBorder="1"/>
    <xf numFmtId="0" fontId="0" fillId="2" borderId="3" xfId="0" applyFill="1" applyBorder="1"/>
    <xf numFmtId="0" fontId="2" fillId="2" borderId="3" xfId="0" applyFont="1" applyFill="1" applyBorder="1" applyAlignment="1">
      <alignment horizontal="center" vertical="center"/>
    </xf>
    <xf numFmtId="0" fontId="0" fillId="2" borderId="4" xfId="0" applyFill="1" applyBorder="1"/>
    <xf numFmtId="0" fontId="2" fillId="2" borderId="5" xfId="0" applyFont="1" applyFill="1" applyBorder="1"/>
    <xf numFmtId="0" fontId="0" fillId="2" borderId="6" xfId="0" applyFill="1" applyBorder="1"/>
    <xf numFmtId="0" fontId="0" fillId="2" borderId="5" xfId="0" applyFill="1" applyBorder="1"/>
    <xf numFmtId="0" fontId="0" fillId="2" borderId="7" xfId="0" applyFill="1" applyBorder="1"/>
    <xf numFmtId="0" fontId="0" fillId="2" borderId="8" xfId="0" applyFill="1" applyBorder="1"/>
    <xf numFmtId="0" fontId="0" fillId="2" borderId="9" xfId="0" applyFill="1" applyBorder="1"/>
    <xf numFmtId="0" fontId="3" fillId="3" borderId="0" xfId="0" applyFont="1" applyFill="1"/>
    <xf numFmtId="0" fontId="7" fillId="3" borderId="0" xfId="0" applyFont="1" applyFill="1" applyAlignment="1">
      <alignment horizontal="right"/>
    </xf>
    <xf numFmtId="0" fontId="4" fillId="3" borderId="0" xfId="0" applyFont="1" applyFill="1"/>
    <xf numFmtId="0" fontId="0" fillId="3" borderId="0" xfId="0" applyFill="1"/>
    <xf numFmtId="9" fontId="5" fillId="3" borderId="0" xfId="1" applyFont="1" applyFill="1" applyBorder="1" applyAlignment="1">
      <alignment wrapText="1"/>
    </xf>
    <xf numFmtId="165" fontId="8" fillId="3" borderId="0" xfId="0" applyNumberFormat="1" applyFont="1" applyFill="1"/>
    <xf numFmtId="165" fontId="8" fillId="3" borderId="0" xfId="0" applyNumberFormat="1" applyFont="1" applyFill="1" applyAlignment="1">
      <alignment horizontal="right"/>
    </xf>
    <xf numFmtId="0" fontId="0" fillId="3" borderId="0" xfId="0" applyFill="1" applyAlignment="1">
      <alignment horizontal="right"/>
    </xf>
    <xf numFmtId="167" fontId="8" fillId="3" borderId="0" xfId="0" applyNumberFormat="1" applyFont="1" applyFill="1"/>
    <xf numFmtId="168" fontId="6" fillId="3" borderId="0" xfId="0" applyNumberFormat="1" applyFont="1" applyFill="1"/>
    <xf numFmtId="168" fontId="5" fillId="3" borderId="0" xfId="0" applyNumberFormat="1" applyFont="1" applyFill="1" applyAlignment="1">
      <alignment wrapText="1"/>
    </xf>
    <xf numFmtId="164" fontId="0" fillId="0" borderId="6" xfId="0" applyNumberFormat="1" applyBorder="1"/>
    <xf numFmtId="2" fontId="0" fillId="0" borderId="8" xfId="0" applyNumberFormat="1" applyBorder="1"/>
    <xf numFmtId="164" fontId="0" fillId="0" borderId="8" xfId="0" applyNumberFormat="1" applyBorder="1"/>
    <xf numFmtId="164" fontId="0" fillId="0" borderId="9" xfId="0" applyNumberFormat="1" applyBorder="1"/>
    <xf numFmtId="2" fontId="0" fillId="0" borderId="2" xfId="0" applyNumberFormat="1" applyBorder="1"/>
    <xf numFmtId="2" fontId="0" fillId="0" borderId="3" xfId="0" applyNumberFormat="1" applyBorder="1"/>
    <xf numFmtId="164" fontId="0" fillId="0" borderId="3" xfId="0" applyNumberFormat="1" applyBorder="1"/>
    <xf numFmtId="164" fontId="0" fillId="0" borderId="4" xfId="0" applyNumberFormat="1" applyBorder="1"/>
    <xf numFmtId="2" fontId="0" fillId="0" borderId="5" xfId="0" applyNumberFormat="1" applyBorder="1"/>
    <xf numFmtId="2" fontId="0" fillId="0" borderId="7" xfId="0" applyNumberFormat="1" applyBorder="1"/>
    <xf numFmtId="0" fontId="0" fillId="0" borderId="1" xfId="0" applyBorder="1"/>
    <xf numFmtId="0" fontId="0" fillId="0" borderId="10" xfId="0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13" xfId="0" applyBorder="1"/>
    <xf numFmtId="0" fontId="0" fillId="0" borderId="14" xfId="0" applyBorder="1"/>
    <xf numFmtId="0" fontId="0" fillId="0" borderId="14" xfId="0" applyBorder="1" applyAlignment="1">
      <alignment wrapText="1"/>
    </xf>
    <xf numFmtId="0" fontId="0" fillId="0" borderId="15" xfId="0" applyBorder="1"/>
    <xf numFmtId="0" fontId="0" fillId="2" borderId="0" xfId="0" applyFill="1" applyAlignment="1">
      <alignment wrapText="1"/>
    </xf>
    <xf numFmtId="0" fontId="10" fillId="2" borderId="0" xfId="0" applyFont="1" applyFill="1" applyAlignment="1">
      <alignment wrapText="1"/>
    </xf>
    <xf numFmtId="0" fontId="10" fillId="2" borderId="0" xfId="0" quotePrefix="1" applyFont="1" applyFill="1" applyAlignment="1">
      <alignment wrapText="1"/>
    </xf>
    <xf numFmtId="0" fontId="8" fillId="2" borderId="0" xfId="0" applyFont="1" applyFill="1" applyAlignment="1">
      <alignment horizontal="left" vertical="center"/>
    </xf>
    <xf numFmtId="0" fontId="9" fillId="2" borderId="0" xfId="0" applyFont="1" applyFill="1" applyAlignment="1">
      <alignment horizontal="left" vertical="center"/>
    </xf>
  </cellXfs>
  <cellStyles count="2">
    <cellStyle name="Normalny" xfId="0" builtinId="0"/>
    <cellStyle name="Procentowy" xfId="1" builtinId="5"/>
  </cellStyles>
  <dxfs count="77">
    <dxf>
      <numFmt numFmtId="2" formatCode="0.00"/>
    </dxf>
    <dxf>
      <numFmt numFmtId="0" formatCode="General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border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</border>
    </dxf>
    <dxf>
      <border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</border>
    </dxf>
    <dxf>
      <border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</border>
    </dxf>
    <dxf>
      <border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</border>
    </dxf>
    <dxf>
      <border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</border>
    </dxf>
    <dxf>
      <border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</border>
    </dxf>
    <dxf>
      <border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</border>
    </dxf>
    <dxf>
      <border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</border>
    </dxf>
    <dxf>
      <border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</border>
    </dxf>
    <dxf>
      <border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</border>
    </dxf>
    <dxf>
      <border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</border>
    </dxf>
    <dxf>
      <border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</border>
    </dxf>
    <dxf>
      <alignment wrapText="1"/>
    </dxf>
    <dxf>
      <alignment wrapText="0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border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</border>
    </dxf>
    <dxf>
      <border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</border>
    </dxf>
    <dxf>
      <border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</border>
    </dxf>
    <dxf>
      <border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</border>
    </dxf>
    <dxf>
      <border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</border>
    </dxf>
    <dxf>
      <border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</border>
    </dxf>
    <dxf>
      <alignment wrapText="1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color rgb="FFFF0000"/>
      </font>
    </dxf>
    <dxf>
      <font>
        <color theme="9" tint="-0.24994659260841701"/>
      </font>
    </dxf>
    <dxf>
      <font>
        <color rgb="FFFF0000"/>
      </font>
    </dxf>
    <dxf>
      <font>
        <color theme="9" tint="-0.24994659260841701"/>
      </font>
    </dxf>
    <dxf>
      <font>
        <b/>
        <sz val="11"/>
        <color theme="1"/>
      </font>
      <border>
        <vertical/>
        <horizontal/>
      </border>
    </dxf>
    <dxf>
      <font>
        <color theme="1"/>
      </font>
      <fill>
        <patternFill>
          <bgColor theme="0"/>
        </patternFill>
      </fill>
      <border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  <vertical/>
        <horizontal/>
      </border>
    </dxf>
    <dxf>
      <font>
        <b/>
        <color theme="1"/>
      </font>
      <border>
        <bottom style="thin">
          <color theme="6"/>
        </bottom>
        <vertical/>
        <horizontal/>
      </border>
    </dxf>
    <dxf>
      <font>
        <color theme="1"/>
      </font>
      <border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  <vertical/>
        <horizontal/>
      </border>
    </dxf>
    <dxf>
      <font>
        <b/>
        <color theme="1"/>
      </font>
      <border>
        <bottom style="thin">
          <color theme="6"/>
        </bottom>
        <vertical/>
        <horizontal/>
      </border>
    </dxf>
    <dxf>
      <font>
        <color theme="1"/>
      </font>
      <fill>
        <patternFill>
          <bgColor rgb="FFF7F7F7"/>
        </patternFill>
      </fill>
      <border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  <vertical/>
        <horizontal/>
      </border>
    </dxf>
    <dxf>
      <border>
        <right style="medium">
          <color theme="1" tint="0.499984740745262"/>
        </right>
        <top style="medium">
          <color theme="1" tint="0.499984740745262"/>
        </top>
        <bottom style="medium">
          <color theme="1" tint="0.499984740745262"/>
        </bottom>
      </border>
    </dxf>
    <dxf>
      <border>
        <left style="medium">
          <color theme="1" tint="0.499984740745262"/>
        </left>
        <top style="medium">
          <color theme="1" tint="0.499984740745262"/>
        </top>
        <bottom style="medium">
          <color theme="1" tint="0.499984740745262"/>
        </bottom>
      </border>
    </dxf>
    <dxf>
      <font>
        <b/>
        <color theme="1"/>
      </font>
    </dxf>
    <dxf>
      <font>
        <b/>
        <color theme="1"/>
      </font>
      <fill>
        <patternFill patternType="solid">
          <fgColor theme="6" tint="0.59999389629810485"/>
          <bgColor theme="6" tint="0.59999389629810485"/>
        </patternFill>
      </fill>
      <border>
        <bottom style="medium">
          <color theme="6" tint="0.79998168889431442"/>
        </bottom>
      </border>
    </dxf>
    <dxf>
      <border>
        <top style="medium">
          <color theme="6" tint="0.79998168889431442"/>
        </top>
      </border>
    </dxf>
    <dxf>
      <border>
        <top style="medium">
          <color theme="6" tint="0.79998168889431442"/>
        </top>
      </border>
    </dxf>
    <dxf>
      <font>
        <b/>
        <color theme="1"/>
      </font>
      <fill>
        <patternFill patternType="solid">
          <fgColor theme="6" tint="0.59999389629810485"/>
          <bgColor theme="6" tint="0.59999389629810485"/>
        </patternFill>
      </fill>
    </dxf>
    <dxf>
      <border>
        <left style="thin">
          <color theme="6" tint="0.39997558519241921"/>
        </left>
        <right style="thin">
          <color theme="6" tint="0.39997558519241921"/>
        </right>
      </border>
    </dxf>
    <dxf>
      <border>
        <left style="thin">
          <color theme="6" tint="0.39997558519241921"/>
        </left>
        <right style="thin">
          <color theme="6" tint="0.39997558519241921"/>
        </right>
      </border>
    </dxf>
    <dxf>
      <border>
        <top style="thin">
          <color theme="6" tint="0.59999389629810485"/>
        </top>
        <bottom style="thin">
          <color theme="6" tint="0.59999389629810485"/>
        </bottom>
      </border>
    </dxf>
    <dxf>
      <font>
        <b/>
        <color theme="0"/>
      </font>
      <fill>
        <patternFill patternType="solid">
          <fgColor theme="2" tint="-0.749961851863155"/>
          <bgColor theme="1" tint="0.24994659260841701"/>
        </patternFill>
      </fill>
    </dxf>
    <dxf>
      <font>
        <b/>
        <color theme="0"/>
      </font>
      <fill>
        <patternFill patternType="solid">
          <fgColor theme="1" tint="0.249977111117893"/>
          <bgColor theme="1" tint="0.24994659260841701"/>
        </patternFill>
      </fill>
    </dxf>
    <dxf>
      <font>
        <color theme="1"/>
      </font>
      <fill>
        <patternFill patternType="solid">
          <fgColor rgb="FFF3F3F3"/>
          <bgColor rgb="FFF0F0F0"/>
        </patternFill>
      </fill>
      <border>
        <left style="medium">
          <color theme="1" tint="0.499984740745262"/>
        </left>
        <right style="medium">
          <color theme="1" tint="0.499984740745262"/>
        </right>
        <top style="medium">
          <color theme="1" tint="0.499984740745262"/>
        </top>
        <bottom style="medium">
          <color theme="1" tint="0.499984740745262"/>
        </bottom>
      </border>
    </dxf>
    <dxf>
      <border>
        <right style="medium">
          <color theme="1" tint="0.499984740745262"/>
        </right>
        <top style="medium">
          <color theme="1" tint="0.499984740745262"/>
        </top>
        <bottom style="medium">
          <color theme="1" tint="0.499984740745262"/>
        </bottom>
      </border>
    </dxf>
    <dxf>
      <border>
        <left style="medium">
          <color theme="1" tint="0.499984740745262"/>
        </left>
        <top style="medium">
          <color theme="1" tint="0.499984740745262"/>
        </top>
        <bottom style="medium">
          <color theme="1" tint="0.499984740745262"/>
        </bottom>
      </border>
    </dxf>
    <dxf>
      <font>
        <b/>
        <color theme="1"/>
      </font>
    </dxf>
    <dxf>
      <font>
        <b/>
        <color theme="1"/>
      </font>
      <fill>
        <patternFill patternType="solid">
          <fgColor theme="6" tint="0.59999389629810485"/>
          <bgColor theme="6" tint="0.59999389629810485"/>
        </patternFill>
      </fill>
      <border>
        <bottom style="medium">
          <color theme="6" tint="0.79998168889431442"/>
        </bottom>
      </border>
    </dxf>
    <dxf>
      <border>
        <top style="medium">
          <color theme="6" tint="0.79998168889431442"/>
        </top>
      </border>
    </dxf>
    <dxf>
      <border>
        <top style="medium">
          <color theme="6" tint="0.79998168889431442"/>
        </top>
      </border>
    </dxf>
    <dxf>
      <font>
        <b/>
        <color theme="1"/>
      </font>
      <fill>
        <patternFill patternType="solid">
          <fgColor theme="6" tint="0.59999389629810485"/>
          <bgColor theme="6" tint="0.59999389629810485"/>
        </patternFill>
      </fill>
    </dxf>
    <dxf>
      <border>
        <left style="thin">
          <color theme="6" tint="0.39997558519241921"/>
        </left>
        <right style="thin">
          <color theme="6" tint="0.39997558519241921"/>
        </right>
      </border>
    </dxf>
    <dxf>
      <border>
        <left style="thin">
          <color theme="6" tint="0.39997558519241921"/>
        </left>
        <right style="thin">
          <color theme="6" tint="0.39997558519241921"/>
        </right>
      </border>
    </dxf>
    <dxf>
      <border>
        <top style="thin">
          <color theme="6" tint="0.59999389629810485"/>
        </top>
        <bottom style="thin">
          <color theme="6" tint="0.59999389629810485"/>
        </bottom>
      </border>
    </dxf>
    <dxf>
      <font>
        <b/>
        <color theme="0"/>
      </font>
      <fill>
        <patternFill patternType="solid">
          <fgColor theme="2" tint="-0.499984740745262"/>
          <bgColor rgb="FF2F3F67"/>
        </patternFill>
      </fill>
    </dxf>
    <dxf>
      <font>
        <b/>
        <color theme="0"/>
      </font>
      <fill>
        <patternFill patternType="solid">
          <fgColor theme="1" tint="0.249977111117893"/>
          <bgColor rgb="FF2F3F67"/>
        </patternFill>
      </fill>
    </dxf>
    <dxf>
      <font>
        <color theme="1"/>
      </font>
      <fill>
        <patternFill patternType="solid">
          <fgColor rgb="FFF3F3F3"/>
          <bgColor theme="0"/>
        </patternFill>
      </fill>
      <border>
        <left style="medium">
          <color theme="1" tint="0.499984740745262"/>
        </left>
        <right style="medium">
          <color theme="1" tint="0.499984740745262"/>
        </right>
        <top style="medium">
          <color theme="1" tint="0.499984740745262"/>
        </top>
        <bottom style="medium">
          <color theme="1" tint="0.499984740745262"/>
        </bottom>
      </border>
    </dxf>
  </dxfs>
  <tableStyles count="5" defaultTableStyle="TableStyleMedium2" defaultPivotStyle="PivotStyleLight16">
    <tableStyle name="PivotStyleDark11 2" table="0" count="13" xr9:uid="{3B34011D-7EB7-44A8-8D09-5A09F3BD3D1B}">
      <tableStyleElement type="wholeTable" dxfId="76"/>
      <tableStyleElement type="headerRow" dxfId="75"/>
      <tableStyleElement type="totalRow" dxfId="74"/>
      <tableStyleElement type="secondRowStripe" dxfId="73"/>
      <tableStyleElement type="firstColumnStripe" dxfId="72"/>
      <tableStyleElement type="secondColumnStripe" dxfId="71"/>
      <tableStyleElement type="firstSubtotalRow" dxfId="70"/>
      <tableStyleElement type="secondColumnSubheading" dxfId="69"/>
      <tableStyleElement type="thirdColumnSubheading" dxfId="68"/>
      <tableStyleElement type="firstRowSubheading" dxfId="67"/>
      <tableStyleElement type="secondRowSubheading" dxfId="66"/>
      <tableStyleElement type="pageFieldLabels" dxfId="65"/>
      <tableStyleElement type="pageFieldValues" dxfId="64"/>
    </tableStyle>
    <tableStyle name="PivotStyleDark11 2 2" table="0" count="13" xr9:uid="{A7E4931E-E86E-4959-9C48-0D16C0F864EC}">
      <tableStyleElement type="wholeTable" dxfId="63"/>
      <tableStyleElement type="headerRow" dxfId="62"/>
      <tableStyleElement type="totalRow" dxfId="61"/>
      <tableStyleElement type="secondRowStripe" dxfId="60"/>
      <tableStyleElement type="firstColumnStripe" dxfId="59"/>
      <tableStyleElement type="secondColumnStripe" dxfId="58"/>
      <tableStyleElement type="firstSubtotalRow" dxfId="57"/>
      <tableStyleElement type="secondColumnSubheading" dxfId="56"/>
      <tableStyleElement type="thirdColumnSubheading" dxfId="55"/>
      <tableStyleElement type="firstRowSubheading" dxfId="54"/>
      <tableStyleElement type="secondRowSubheading" dxfId="53"/>
      <tableStyleElement type="pageFieldLabels" dxfId="52"/>
      <tableStyleElement type="pageFieldValues" dxfId="51"/>
    </tableStyle>
    <tableStyle name="SlicerStyleLight3 2" pivot="0" table="0" count="10" xr9:uid="{308A599A-72D3-4962-8D38-14873CCED67D}">
      <tableStyleElement type="wholeTable" dxfId="50"/>
      <tableStyleElement type="headerRow" dxfId="49"/>
    </tableStyle>
    <tableStyle name="SlicerStyleLight3 3" pivot="0" table="0" count="10" xr9:uid="{D4AE6160-44D2-4DC3-8E10-D457AAD2913C}">
      <tableStyleElement type="wholeTable" dxfId="48"/>
      <tableStyleElement type="headerRow" dxfId="47"/>
    </tableStyle>
    <tableStyle name="TimeSlicerStyleDark3 2" pivot="0" table="0" count="9" xr9:uid="{42A6A817-512C-4003-ABC4-6DAD462A7350}">
      <tableStyleElement type="wholeTable" dxfId="46"/>
      <tableStyleElement type="headerRow" dxfId="45"/>
    </tableStyle>
  </tableStyles>
  <colors>
    <mruColors>
      <color rgb="FFF5F6F8"/>
      <color rgb="FF2F3F67"/>
      <color rgb="FF1F2A44"/>
      <color rgb="FF193F61"/>
      <color rgb="FF666262"/>
      <color rgb="FF333333"/>
      <color rgb="FFF7F7F7"/>
      <color rgb="FFF3F3F3"/>
      <color rgb="FF1B4367"/>
      <color rgb="FF173A59"/>
    </mruColors>
  </colors>
  <extLst>
    <ext xmlns:x14="http://schemas.microsoft.com/office/spreadsheetml/2009/9/main" uri="{46F421CA-312F-682f-3DD2-61675219B42D}">
      <x14:dxfs count="16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6" tint="0.79995117038483843"/>
              <bgColor theme="3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6" tint="0.59999389629810485"/>
              <bgColor theme="3" tint="0.79998168889431442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theme="0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theme="0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6" tint="0.79998168889431442"/>
              <bgColor theme="6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6" tint="0.59999389629810485"/>
              <bgColor theme="6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Light3 2">
          <x14:slicerStyleElements>
            <x14:slicerStyleElement type="unselectedItemWithData" dxfId="15"/>
            <x14:slicerStyleElement type="unselectedItemWithNoData" dxfId="14"/>
            <x14:slicerStyleElement type="selectedItemWithData" dxfId="13"/>
            <x14:slicerStyleElement type="selectedItemWithNoData" dxfId="12"/>
            <x14:slicerStyleElement type="hoveredUnselectedItemWithData" dxfId="11"/>
            <x14:slicerStyleElement type="hoveredSelectedItemWithData" dxfId="10"/>
            <x14:slicerStyleElement type="hoveredUnselectedItemWithNoData" dxfId="9"/>
            <x14:slicerStyleElement type="hoveredSelectedItemWithNoData" dxfId="8"/>
          </x14:slicerStyleElements>
        </x14:slicerStyle>
        <x14:slicerStyle name="SlicerStyleLight3 3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A0A4C193-F2C1-4fcb-8827-314CF55A85BB}">
      <x15:dxfs count="7">
        <dxf>
          <fill>
            <patternFill patternType="solid">
              <fgColor theme="6" tint="0.39997558519241921"/>
              <bgColor theme="6" tint="0.39997558519241921"/>
            </patternFill>
          </fill>
          <border>
            <vertical/>
            <horizontal/>
          </border>
        </dxf>
        <dxf>
          <fill>
            <gradientFill degree="90">
              <stop position="0">
                <color theme="0" tint="-0.249977111117893"/>
              </stop>
              <stop position="1">
                <color theme="0" tint="-0.249977111117893"/>
              </stop>
            </gradientFill>
          </fill>
          <border>
            <vertical/>
            <horizontal/>
          </border>
        </dxf>
        <dxf>
          <fill>
            <patternFill patternType="solid">
              <fgColor auto="1"/>
              <bgColor theme="3" tint="0.39994506668294322"/>
            </patternFill>
          </fill>
          <border>
            <vertical/>
            <horizontal/>
          </border>
        </dxf>
        <dxf>
          <font>
            <sz val="9"/>
            <color theme="1" tint="0.499984740745262"/>
          </font>
          <border>
            <left/>
            <right/>
            <top/>
            <bottom/>
            <vertical/>
            <horizontal/>
          </border>
        </dxf>
        <dxf>
          <font>
            <sz val="9"/>
            <color theme="1" tint="0.499984740745262"/>
          </font>
          <border>
            <left/>
            <right/>
            <top/>
            <bottom/>
            <vertical/>
            <horizontal/>
          </border>
        </dxf>
        <dxf>
          <font>
            <sz val="9"/>
            <color theme="1" tint="0.499984740745262"/>
          </font>
          <border>
            <left/>
            <right/>
            <top/>
            <bottom/>
            <vertical/>
            <horizontal/>
          </border>
        </dxf>
        <dxf>
          <font>
            <sz val="10"/>
            <color theme="6" tint="-0.249977111117893"/>
          </font>
          <border>
            <left/>
            <right/>
            <top/>
            <bottom/>
            <vertical/>
            <horizontal/>
          </border>
        </dxf>
      </x15:dxfs>
    </ext>
    <ext xmlns:x15="http://schemas.microsoft.com/office/spreadsheetml/2010/11/main" uri="{9260A510-F301-46a8-8635-F512D64BE5F5}">
      <x15:timelineStyles defaultTimelineStyle="TimeSlicerStyleLight1">
        <x15:timelineStyle name="TimeSlicerStyleDark3 2">
          <x15:timelineStyleElements>
            <x15:timelineStyleElement type="selectionLabel" dxfId="6"/>
            <x15:timelineStyleElement type="timeLevel" dxfId="5"/>
            <x15:timelineStyleElement type="periodLabel1" dxfId="4"/>
            <x15:timelineStyleElement type="periodLabel2" dxfId="3"/>
            <x15:timelineStyleElement type="selectedTimeBlock" dxfId="2"/>
            <x15:timelineStyleElement type="unselectedTimeBlock" dxfId="1"/>
            <x15:timelineStyleElement type="selectedTimeBlockSpace" dxfId="0"/>
          </x15:timelineStyleElements>
        </x15:timelineStyle>
      </x15:timelineStyles>
    </ext>
  </extLst>
</styleSheet>
</file>

<file path=xl/_rels/workbook.xml.rels><?xml version="1.0" encoding="UTF-8" standalone="yes"?>
<Relationships xmlns="http://schemas.openxmlformats.org/package/2006/relationships"><Relationship Id="rId13" Type="http://schemas.microsoft.com/office/2007/relationships/slicerCache" Target="slicerCaches/slicerCache1.xml"/><Relationship Id="rId18" Type="http://schemas.openxmlformats.org/officeDocument/2006/relationships/theme" Target="theme/theme1.xml"/><Relationship Id="rId26" Type="http://schemas.openxmlformats.org/officeDocument/2006/relationships/customXml" Target="../customXml/item2.xml"/><Relationship Id="rId39" Type="http://schemas.openxmlformats.org/officeDocument/2006/relationships/customXml" Target="../customXml/item15.xml"/><Relationship Id="rId21" Type="http://schemas.openxmlformats.org/officeDocument/2006/relationships/sharedStrings" Target="sharedStrings.xml"/><Relationship Id="rId34" Type="http://schemas.openxmlformats.org/officeDocument/2006/relationships/customXml" Target="../customXml/item10.xml"/><Relationship Id="rId42" Type="http://schemas.openxmlformats.org/officeDocument/2006/relationships/customXml" Target="../customXml/item18.xml"/><Relationship Id="rId47" Type="http://schemas.openxmlformats.org/officeDocument/2006/relationships/customXml" Target="../customXml/item23.xml"/><Relationship Id="rId50" Type="http://schemas.openxmlformats.org/officeDocument/2006/relationships/customXml" Target="../customXml/item26.xml"/><Relationship Id="rId55" Type="http://schemas.openxmlformats.org/officeDocument/2006/relationships/customXml" Target="../customXml/item31.xml"/><Relationship Id="rId7" Type="http://schemas.openxmlformats.org/officeDocument/2006/relationships/pivotCacheDefinition" Target="pivotCache/pivotCacheDefinition4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10.xml"/><Relationship Id="rId29" Type="http://schemas.openxmlformats.org/officeDocument/2006/relationships/customXml" Target="../customXml/item5.xml"/><Relationship Id="rId11" Type="http://schemas.openxmlformats.org/officeDocument/2006/relationships/pivotCacheDefinition" Target="pivotCache/pivotCacheDefinition8.xml"/><Relationship Id="rId24" Type="http://schemas.openxmlformats.org/officeDocument/2006/relationships/calcChain" Target="calcChain.xml"/><Relationship Id="rId32" Type="http://schemas.openxmlformats.org/officeDocument/2006/relationships/customXml" Target="../customXml/item8.xml"/><Relationship Id="rId37" Type="http://schemas.openxmlformats.org/officeDocument/2006/relationships/customXml" Target="../customXml/item13.xml"/><Relationship Id="rId40" Type="http://schemas.openxmlformats.org/officeDocument/2006/relationships/customXml" Target="../customXml/item16.xml"/><Relationship Id="rId45" Type="http://schemas.openxmlformats.org/officeDocument/2006/relationships/customXml" Target="../customXml/item21.xml"/><Relationship Id="rId53" Type="http://schemas.openxmlformats.org/officeDocument/2006/relationships/customXml" Target="../customXml/item29.xml"/><Relationship Id="rId5" Type="http://schemas.openxmlformats.org/officeDocument/2006/relationships/pivotCacheDefinition" Target="pivotCache/pivotCacheDefinition2.xml"/><Relationship Id="rId19" Type="http://schemas.openxmlformats.org/officeDocument/2006/relationships/connections" Target="connections.xml"/><Relationship Id="rId4" Type="http://schemas.openxmlformats.org/officeDocument/2006/relationships/pivotCacheDefinition" Target="pivotCache/pivotCacheDefinition1.xml"/><Relationship Id="rId9" Type="http://schemas.openxmlformats.org/officeDocument/2006/relationships/pivotCacheDefinition" Target="pivotCache/pivotCacheDefinition6.xml"/><Relationship Id="rId14" Type="http://schemas.microsoft.com/office/2007/relationships/slicerCache" Target="slicerCaches/slicerCache2.xml"/><Relationship Id="rId22" Type="http://schemas.openxmlformats.org/officeDocument/2006/relationships/powerPivotData" Target="model/item.data"/><Relationship Id="rId27" Type="http://schemas.openxmlformats.org/officeDocument/2006/relationships/customXml" Target="../customXml/item3.xml"/><Relationship Id="rId30" Type="http://schemas.openxmlformats.org/officeDocument/2006/relationships/customXml" Target="../customXml/item6.xml"/><Relationship Id="rId35" Type="http://schemas.openxmlformats.org/officeDocument/2006/relationships/customXml" Target="../customXml/item11.xml"/><Relationship Id="rId43" Type="http://schemas.openxmlformats.org/officeDocument/2006/relationships/customXml" Target="../customXml/item19.xml"/><Relationship Id="rId48" Type="http://schemas.openxmlformats.org/officeDocument/2006/relationships/customXml" Target="../customXml/item24.xml"/><Relationship Id="rId56" Type="http://schemas.openxmlformats.org/officeDocument/2006/relationships/customXml" Target="../customXml/item32.xml"/><Relationship Id="rId8" Type="http://schemas.openxmlformats.org/officeDocument/2006/relationships/pivotCacheDefinition" Target="pivotCache/pivotCacheDefinition5.xml"/><Relationship Id="rId51" Type="http://schemas.openxmlformats.org/officeDocument/2006/relationships/customXml" Target="../customXml/item27.xml"/><Relationship Id="rId3" Type="http://schemas.openxmlformats.org/officeDocument/2006/relationships/worksheet" Target="worksheets/sheet3.xml"/><Relationship Id="rId12" Type="http://schemas.openxmlformats.org/officeDocument/2006/relationships/pivotCacheDefinition" Target="pivotCache/pivotCacheDefinition9.xml"/><Relationship Id="rId17" Type="http://schemas.microsoft.com/office/2011/relationships/timelineCache" Target="timelineCaches/timelineCache1.xml"/><Relationship Id="rId25" Type="http://schemas.openxmlformats.org/officeDocument/2006/relationships/customXml" Target="../customXml/item1.xml"/><Relationship Id="rId33" Type="http://schemas.openxmlformats.org/officeDocument/2006/relationships/customXml" Target="../customXml/item9.xml"/><Relationship Id="rId38" Type="http://schemas.openxmlformats.org/officeDocument/2006/relationships/customXml" Target="../customXml/item14.xml"/><Relationship Id="rId46" Type="http://schemas.openxmlformats.org/officeDocument/2006/relationships/customXml" Target="../customXml/item22.xml"/><Relationship Id="rId20" Type="http://schemas.openxmlformats.org/officeDocument/2006/relationships/styles" Target="styles.xml"/><Relationship Id="rId41" Type="http://schemas.openxmlformats.org/officeDocument/2006/relationships/customXml" Target="../customXml/item17.xml"/><Relationship Id="rId54" Type="http://schemas.openxmlformats.org/officeDocument/2006/relationships/customXml" Target="../customXml/item30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3.xml"/><Relationship Id="rId15" Type="http://schemas.microsoft.com/office/2007/relationships/slicerCache" Target="slicerCaches/slicerCache3.xml"/><Relationship Id="rId23" Type="http://schemas.microsoft.com/office/2017/10/relationships/person" Target="persons/person.xml"/><Relationship Id="rId28" Type="http://schemas.openxmlformats.org/officeDocument/2006/relationships/customXml" Target="../customXml/item4.xml"/><Relationship Id="rId36" Type="http://schemas.openxmlformats.org/officeDocument/2006/relationships/customXml" Target="../customXml/item12.xml"/><Relationship Id="rId49" Type="http://schemas.openxmlformats.org/officeDocument/2006/relationships/customXml" Target="../customXml/item25.xml"/><Relationship Id="rId57" Type="http://schemas.openxmlformats.org/officeDocument/2006/relationships/customXml" Target="../customXml/item33.xml"/><Relationship Id="rId10" Type="http://schemas.openxmlformats.org/officeDocument/2006/relationships/pivotCacheDefinition" Target="pivotCache/pivotCacheDefinition7.xml"/><Relationship Id="rId31" Type="http://schemas.openxmlformats.org/officeDocument/2006/relationships/customXml" Target="../customXml/item7.xml"/><Relationship Id="rId44" Type="http://schemas.openxmlformats.org/officeDocument/2006/relationships/customXml" Target="../customXml/item20.xml"/><Relationship Id="rId52" Type="http://schemas.openxmlformats.org/officeDocument/2006/relationships/customXml" Target="../customXml/item28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[Analiza kosztów i budżetu.xlsx]Pomocniczy!Tabela przestawna3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 sz="1600" b="1">
                <a:solidFill>
                  <a:srgbClr val="1F2A44"/>
                </a:solidFill>
              </a:rPr>
              <a:t>Koszty rzeczywiste vs budżet – analiza miesięczna</a:t>
            </a:r>
            <a:endParaRPr lang="pl-PL" sz="1600">
              <a:solidFill>
                <a:srgbClr val="1F2A44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193F6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bg2">
              <a:lumMod val="9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28575" cap="rnd">
            <a:noFill/>
            <a:round/>
          </a:ln>
          <a:effectLst/>
        </c:spPr>
        <c:marker>
          <c:symbol val="dash"/>
          <c:size val="16"/>
          <c:spPr>
            <a:solidFill>
              <a:schemeClr val="accent1">
                <a:lumMod val="40000"/>
                <a:lumOff val="60000"/>
              </a:schemeClr>
            </a:solidFill>
            <a:ln w="9525">
              <a:solidFill>
                <a:srgbClr val="66626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solidFill>
            <a:schemeClr val="bg1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Pomocniczy!$B$4</c:f>
              <c:strCache>
                <c:ptCount val="1"/>
                <c:pt idx="0">
                  <c:v>M09.Koszty 2025</c:v>
                </c:pt>
              </c:strCache>
            </c:strRef>
          </c:tx>
          <c:spPr>
            <a:solidFill>
              <a:schemeClr val="bg1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Pomocniczy!$A$5:$A$17</c:f>
              <c:strCache>
                <c:ptCount val="12"/>
                <c:pt idx="0">
                  <c:v>styczeń</c:v>
                </c:pt>
                <c:pt idx="1">
                  <c:v>luty</c:v>
                </c:pt>
                <c:pt idx="2">
                  <c:v>marzec</c:v>
                </c:pt>
                <c:pt idx="3">
                  <c:v>kwiecień</c:v>
                </c:pt>
                <c:pt idx="4">
                  <c:v>maj</c:v>
                </c:pt>
                <c:pt idx="5">
                  <c:v>czerwiec</c:v>
                </c:pt>
                <c:pt idx="6">
                  <c:v>lipiec</c:v>
                </c:pt>
                <c:pt idx="7">
                  <c:v>sierpień</c:v>
                </c:pt>
                <c:pt idx="8">
                  <c:v>wrzesień</c:v>
                </c:pt>
                <c:pt idx="9">
                  <c:v>październik</c:v>
                </c:pt>
                <c:pt idx="10">
                  <c:v>listopad</c:v>
                </c:pt>
                <c:pt idx="11">
                  <c:v>grudzień</c:v>
                </c:pt>
              </c:strCache>
            </c:strRef>
          </c:cat>
          <c:val>
            <c:numRef>
              <c:f>Pomocniczy!$B$5:$B$17</c:f>
              <c:numCache>
                <c:formatCode>0.00</c:formatCode>
                <c:ptCount val="12"/>
                <c:pt idx="0">
                  <c:v>1638273.96</c:v>
                </c:pt>
                <c:pt idx="1">
                  <c:v>1776235.62</c:v>
                </c:pt>
                <c:pt idx="2">
                  <c:v>1916246.08</c:v>
                </c:pt>
                <c:pt idx="3">
                  <c:v>1683972.4</c:v>
                </c:pt>
                <c:pt idx="4">
                  <c:v>1876250.29</c:v>
                </c:pt>
                <c:pt idx="5">
                  <c:v>2562682.41</c:v>
                </c:pt>
                <c:pt idx="6">
                  <c:v>2042643.18</c:v>
                </c:pt>
                <c:pt idx="7">
                  <c:v>1780412.92</c:v>
                </c:pt>
                <c:pt idx="8">
                  <c:v>1784256.02</c:v>
                </c:pt>
                <c:pt idx="9">
                  <c:v>1993314.98</c:v>
                </c:pt>
                <c:pt idx="10">
                  <c:v>1867084.72</c:v>
                </c:pt>
                <c:pt idx="11">
                  <c:v>5450511.6299999999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ADF-423B-8836-541A41E2E99E}"/>
            </c:ext>
          </c:extLst>
        </c:ser>
        <c:ser>
          <c:idx val="1"/>
          <c:order val="1"/>
          <c:tx>
            <c:strRef>
              <c:f>Pomocniczy!$C$4</c:f>
              <c:strCache>
                <c:ptCount val="1"/>
                <c:pt idx="0">
                  <c:v>M05.Koszty 2026</c:v>
                </c:pt>
              </c:strCache>
            </c:strRef>
          </c:tx>
          <c:spPr>
            <a:solidFill>
              <a:srgbClr val="193F61"/>
            </a:solidFill>
            <a:ln w="25400">
              <a:noFill/>
            </a:ln>
            <a:effectLst/>
          </c:spPr>
          <c:invertIfNegative val="0"/>
          <c:cat>
            <c:strRef>
              <c:f>Pomocniczy!$A$5:$A$17</c:f>
              <c:strCache>
                <c:ptCount val="12"/>
                <c:pt idx="0">
                  <c:v>styczeń</c:v>
                </c:pt>
                <c:pt idx="1">
                  <c:v>luty</c:v>
                </c:pt>
                <c:pt idx="2">
                  <c:v>marzec</c:v>
                </c:pt>
                <c:pt idx="3">
                  <c:v>kwiecień</c:v>
                </c:pt>
                <c:pt idx="4">
                  <c:v>maj</c:v>
                </c:pt>
                <c:pt idx="5">
                  <c:v>czerwiec</c:v>
                </c:pt>
                <c:pt idx="6">
                  <c:v>lipiec</c:v>
                </c:pt>
                <c:pt idx="7">
                  <c:v>sierpień</c:v>
                </c:pt>
                <c:pt idx="8">
                  <c:v>wrzesień</c:v>
                </c:pt>
                <c:pt idx="9">
                  <c:v>październik</c:v>
                </c:pt>
                <c:pt idx="10">
                  <c:v>listopad</c:v>
                </c:pt>
                <c:pt idx="11">
                  <c:v>grudzień</c:v>
                </c:pt>
              </c:strCache>
            </c:strRef>
          </c:cat>
          <c:val>
            <c:numRef>
              <c:f>Pomocniczy!$C$5:$C$17</c:f>
              <c:numCache>
                <c:formatCode>0.00</c:formatCode>
                <c:ptCount val="12"/>
                <c:pt idx="0">
                  <c:v>1828872.78</c:v>
                </c:pt>
                <c:pt idx="1">
                  <c:v>2238487.2000000002</c:v>
                </c:pt>
                <c:pt idx="2">
                  <c:v>2571371.66</c:v>
                </c:pt>
                <c:pt idx="3">
                  <c:v>2239993.4300000002</c:v>
                </c:pt>
                <c:pt idx="4">
                  <c:v>1958442.9</c:v>
                </c:pt>
                <c:pt idx="5">
                  <c:v>2701859.17</c:v>
                </c:pt>
                <c:pt idx="6">
                  <c:v>2107372.33</c:v>
                </c:pt>
                <c:pt idx="7">
                  <c:v>2011962.05</c:v>
                </c:pt>
                <c:pt idx="8">
                  <c:v>1604317.18</c:v>
                </c:pt>
                <c:pt idx="9">
                  <c:v>2317615.9300000002</c:v>
                </c:pt>
                <c:pt idx="10">
                  <c:v>2084292.77</c:v>
                </c:pt>
                <c:pt idx="11">
                  <c:v>2637507.7200000002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ADF-423B-8836-541A41E2E9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45"/>
        <c:axId val="1868590496"/>
        <c:axId val="1868588096"/>
      </c:barChart>
      <c:lineChart>
        <c:grouping val="standard"/>
        <c:varyColors val="0"/>
        <c:ser>
          <c:idx val="2"/>
          <c:order val="2"/>
          <c:tx>
            <c:strRef>
              <c:f>Pomocniczy!$D$4</c:f>
              <c:strCache>
                <c:ptCount val="1"/>
                <c:pt idx="0">
                  <c:v>M06.Budżet 2026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dash"/>
            <c:size val="16"/>
            <c:spPr>
              <a:solidFill>
                <a:schemeClr val="accent1">
                  <a:lumMod val="40000"/>
                  <a:lumOff val="60000"/>
                </a:schemeClr>
              </a:solidFill>
              <a:ln w="9525">
                <a:solidFill>
                  <a:srgbClr val="666262"/>
                </a:solidFill>
              </a:ln>
              <a:effectLst/>
            </c:spPr>
          </c:marker>
          <c:cat>
            <c:strRef>
              <c:f>Pomocniczy!$A$5:$A$17</c:f>
              <c:strCache>
                <c:ptCount val="12"/>
                <c:pt idx="0">
                  <c:v>styczeń</c:v>
                </c:pt>
                <c:pt idx="1">
                  <c:v>luty</c:v>
                </c:pt>
                <c:pt idx="2">
                  <c:v>marzec</c:v>
                </c:pt>
                <c:pt idx="3">
                  <c:v>kwiecień</c:v>
                </c:pt>
                <c:pt idx="4">
                  <c:v>maj</c:v>
                </c:pt>
                <c:pt idx="5">
                  <c:v>czerwiec</c:v>
                </c:pt>
                <c:pt idx="6">
                  <c:v>lipiec</c:v>
                </c:pt>
                <c:pt idx="7">
                  <c:v>sierpień</c:v>
                </c:pt>
                <c:pt idx="8">
                  <c:v>wrzesień</c:v>
                </c:pt>
                <c:pt idx="9">
                  <c:v>październik</c:v>
                </c:pt>
                <c:pt idx="10">
                  <c:v>listopad</c:v>
                </c:pt>
                <c:pt idx="11">
                  <c:v>grudzień</c:v>
                </c:pt>
              </c:strCache>
            </c:strRef>
          </c:cat>
          <c:val>
            <c:numRef>
              <c:f>Pomocniczy!$D$5:$D$17</c:f>
              <c:numCache>
                <c:formatCode>0.00</c:formatCode>
                <c:ptCount val="12"/>
                <c:pt idx="0">
                  <c:v>2063524.38</c:v>
                </c:pt>
                <c:pt idx="1">
                  <c:v>1596949.35</c:v>
                </c:pt>
                <c:pt idx="2">
                  <c:v>1817333.15</c:v>
                </c:pt>
                <c:pt idx="3">
                  <c:v>1482206.56</c:v>
                </c:pt>
                <c:pt idx="4">
                  <c:v>1851983.08</c:v>
                </c:pt>
                <c:pt idx="5">
                  <c:v>1917762.01</c:v>
                </c:pt>
                <c:pt idx="6">
                  <c:v>2236711.41</c:v>
                </c:pt>
                <c:pt idx="7">
                  <c:v>1613140.56</c:v>
                </c:pt>
                <c:pt idx="8">
                  <c:v>1517509.62</c:v>
                </c:pt>
                <c:pt idx="9">
                  <c:v>1402277.06</c:v>
                </c:pt>
                <c:pt idx="10">
                  <c:v>1371954.06</c:v>
                </c:pt>
                <c:pt idx="11">
                  <c:v>1294626.79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9-8ADF-423B-8836-541A41E2E9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68590496"/>
        <c:axId val="1868588096"/>
      </c:lineChart>
      <c:catAx>
        <c:axId val="186859049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868588096"/>
        <c:crosses val="autoZero"/>
        <c:auto val="1"/>
        <c:lblAlgn val="ctr"/>
        <c:lblOffset val="100"/>
        <c:noMultiLvlLbl val="0"/>
      </c:catAx>
      <c:valAx>
        <c:axId val="18685880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868590496"/>
        <c:crosses val="autoZero"/>
        <c:crossBetween val="between"/>
        <c:dispUnits>
          <c:builtInUnit val="million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</c:dispUnitsLbl>
        </c:dispUnits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3175" cap="flat" cmpd="sng" algn="ctr">
      <a:solidFill>
        <a:schemeClr val="tx2">
          <a:lumMod val="40000"/>
          <a:lumOff val="60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[Analiza kosztów i budżetu.xlsx]Pomocniczy!Tabela przestawna5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pl-PL" sz="12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pl-PL" sz="1600" b="1" i="0" u="none" strike="noStrike" kern="1200" spc="0" baseline="0">
                <a:solidFill>
                  <a:srgbClr val="1F2A44"/>
                </a:solidFill>
                <a:latin typeface="+mn-lt"/>
                <a:ea typeface="+mn-ea"/>
                <a:cs typeface="+mn-cs"/>
              </a:rPr>
              <a:t>Struktura kosztów wg grup kosztowych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pl-PL" sz="1200" b="1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tx2"/>
          </a:solidFill>
          <a:ln>
            <a:solidFill>
              <a:schemeClr val="tx1">
                <a:lumMod val="50000"/>
                <a:lumOff val="50000"/>
              </a:schemeClr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Pomocniczy!$B$35</c:f>
              <c:strCache>
                <c:ptCount val="1"/>
                <c:pt idx="0">
                  <c:v>Suma</c:v>
                </c:pt>
              </c:strCache>
            </c:strRef>
          </c:tx>
          <c:spPr>
            <a:solidFill>
              <a:schemeClr val="tx2"/>
            </a:solidFill>
            <a:ln>
              <a:solidFill>
                <a:schemeClr val="tx1">
                  <a:lumMod val="50000"/>
                  <a:lumOff val="50000"/>
                </a:schemeClr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Pomocniczy!$A$36:$A$44</c:f>
              <c:strCache>
                <c:ptCount val="8"/>
                <c:pt idx="0">
                  <c:v>06 ZUS i inne świadczenia</c:v>
                </c:pt>
                <c:pt idx="1">
                  <c:v>09 Pozostałe koszty rodzajowe</c:v>
                </c:pt>
                <c:pt idx="2">
                  <c:v>05 Wynagrodzenia</c:v>
                </c:pt>
                <c:pt idx="3">
                  <c:v>04 Podatki i opłaty</c:v>
                </c:pt>
                <c:pt idx="4">
                  <c:v>08 Reklama i marketing</c:v>
                </c:pt>
                <c:pt idx="5">
                  <c:v>02 Materiały</c:v>
                </c:pt>
                <c:pt idx="6">
                  <c:v>01 Amortyzacja</c:v>
                </c:pt>
                <c:pt idx="7">
                  <c:v>03 Usługi</c:v>
                </c:pt>
              </c:strCache>
            </c:strRef>
          </c:cat>
          <c:val>
            <c:numRef>
              <c:f>Pomocniczy!$B$36:$B$44</c:f>
              <c:numCache>
                <c:formatCode>0.00</c:formatCode>
                <c:ptCount val="8"/>
                <c:pt idx="0">
                  <c:v>69478.77</c:v>
                </c:pt>
                <c:pt idx="1">
                  <c:v>340549.96</c:v>
                </c:pt>
                <c:pt idx="2">
                  <c:v>1305488.1499999999</c:v>
                </c:pt>
                <c:pt idx="3">
                  <c:v>1876058.8</c:v>
                </c:pt>
                <c:pt idx="4">
                  <c:v>2719304.51</c:v>
                </c:pt>
                <c:pt idx="5">
                  <c:v>4035050.13</c:v>
                </c:pt>
                <c:pt idx="6">
                  <c:v>4492889.59</c:v>
                </c:pt>
                <c:pt idx="7">
                  <c:v>11463275.210000001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1D7-498F-8FCF-196D8CC7C72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20"/>
        <c:axId val="120955968"/>
        <c:axId val="120972768"/>
      </c:barChart>
      <c:catAx>
        <c:axId val="120955968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20972768"/>
        <c:crosses val="autoZero"/>
        <c:auto val="1"/>
        <c:lblAlgn val="ctr"/>
        <c:lblOffset val="100"/>
        <c:noMultiLvlLbl val="0"/>
      </c:catAx>
      <c:valAx>
        <c:axId val="120972768"/>
        <c:scaling>
          <c:orientation val="minMax"/>
        </c:scaling>
        <c:delete val="0"/>
        <c:axPos val="b"/>
        <c:numFmt formatCode="0.00" sourceLinked="1"/>
        <c:majorTickMark val="out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20955968"/>
        <c:crosses val="autoZero"/>
        <c:crossBetween val="between"/>
        <c:dispUnits>
          <c:builtInUnit val="thousands"/>
          <c:dispUnits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</c:dispUnitsLbl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3175" cap="rnd" cmpd="sng" algn="ctr">
      <a:solidFill>
        <a:schemeClr val="tx2">
          <a:lumMod val="40000"/>
          <a:lumOff val="60000"/>
        </a:schemeClr>
      </a:solidFill>
      <a:round/>
    </a:ln>
    <a:effectLst/>
  </c:spPr>
  <c:txPr>
    <a:bodyPr/>
    <a:lstStyle/>
    <a:p>
      <a:pPr>
        <a:defRPr lang="en-US" sz="1000" b="0" i="0" u="none" strike="noStrike" kern="1200" baseline="0">
          <a:solidFill>
            <a:schemeClr val="tx1"/>
          </a:solidFill>
          <a:latin typeface="+mn-lt"/>
          <a:ea typeface="+mn-ea"/>
          <a:cs typeface="+mn-cs"/>
        </a:defRPr>
      </a:pPr>
      <a:endParaRPr lang="pl-P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[Analiza kosztów i budżetu.xlsx]Pomocniczy!Tabela przestawna4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lang="en-US" sz="12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pl-PL" sz="1600" b="1" i="0" u="none" strike="noStrike" kern="1200" spc="0" baseline="0">
                <a:solidFill>
                  <a:srgbClr val="1F2A44"/>
                </a:solidFill>
              </a:rPr>
              <a:t>Odchylenia budżetowe wg MPK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lang="en-US" sz="12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FF0000"/>
          </a:solidFill>
          <a:ln>
            <a:noFill/>
          </a:ln>
          <a:effectLst/>
        </c:spPr>
        <c:marker>
          <c:symbol val="none"/>
        </c:marker>
        <c:dLbl>
          <c:idx val="0"/>
          <c:numFmt formatCode="0.0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3.977256219949734E-2"/>
          <c:y val="9.5464798276247653E-2"/>
          <c:w val="0.91732123385792741"/>
          <c:h val="0.88653832840794677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Pomocniczy!$B$19</c:f>
              <c:strCache>
                <c:ptCount val="1"/>
                <c:pt idx="0">
                  <c:v>Suma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1"/>
          <c:dLbls>
            <c:numFmt formatCode="0.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Pomocniczy!$A$20:$A$33</c:f>
              <c:strCache>
                <c:ptCount val="13"/>
                <c:pt idx="0">
                  <c:v>303 Zakład nr 3</c:v>
                </c:pt>
                <c:pt idx="1">
                  <c:v>308 Zakład nr 8</c:v>
                </c:pt>
                <c:pt idx="2">
                  <c:v>305 Zakład nr 5</c:v>
                </c:pt>
                <c:pt idx="3">
                  <c:v>309 Zakład nr 9</c:v>
                </c:pt>
                <c:pt idx="4">
                  <c:v>302 Zakład nr 2</c:v>
                </c:pt>
                <c:pt idx="5">
                  <c:v>411 Dział nieruchomości</c:v>
                </c:pt>
                <c:pt idx="6">
                  <c:v>412 Dział techniczny</c:v>
                </c:pt>
                <c:pt idx="7">
                  <c:v>517 Administracja</c:v>
                </c:pt>
                <c:pt idx="8">
                  <c:v>518 Dział inwestycyjny</c:v>
                </c:pt>
                <c:pt idx="9">
                  <c:v>513 Dział marketingu</c:v>
                </c:pt>
                <c:pt idx="10">
                  <c:v>306 Zakład nr 6</c:v>
                </c:pt>
                <c:pt idx="11">
                  <c:v>301 Zakład nr 1</c:v>
                </c:pt>
                <c:pt idx="12">
                  <c:v>521 Zarząd</c:v>
                </c:pt>
              </c:strCache>
            </c:strRef>
          </c:cat>
          <c:val>
            <c:numRef>
              <c:f>Pomocniczy!$B$20:$B$33</c:f>
              <c:numCache>
                <c:formatCode>0.00</c:formatCode>
                <c:ptCount val="13"/>
                <c:pt idx="0">
                  <c:v>-1783501.58</c:v>
                </c:pt>
                <c:pt idx="1">
                  <c:v>3441.36</c:v>
                </c:pt>
                <c:pt idx="2">
                  <c:v>33385.21</c:v>
                </c:pt>
                <c:pt idx="3">
                  <c:v>34878.989999999991</c:v>
                </c:pt>
                <c:pt idx="4">
                  <c:v>150868.04</c:v>
                </c:pt>
                <c:pt idx="5">
                  <c:v>166953.97999999998</c:v>
                </c:pt>
                <c:pt idx="6">
                  <c:v>168526.89</c:v>
                </c:pt>
                <c:pt idx="7">
                  <c:v>175740.41000000015</c:v>
                </c:pt>
                <c:pt idx="8">
                  <c:v>193443.3</c:v>
                </c:pt>
                <c:pt idx="9">
                  <c:v>341096.10000000009</c:v>
                </c:pt>
                <c:pt idx="10">
                  <c:v>421266.64999999997</c:v>
                </c:pt>
                <c:pt idx="11">
                  <c:v>2497132.1100000013</c:v>
                </c:pt>
                <c:pt idx="12">
                  <c:v>3732885.6300000004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70AD47"/>
                  </a:solidFill>
                  <a:ln>
                    <a:noFill/>
                  </a:ln>
                  <a:effectLst/>
                </c14:spPr>
              </c14:invertSolidFillFmt>
            </c:ext>
            <c:ext xmlns:c16="http://schemas.microsoft.com/office/drawing/2014/chart" uri="{C3380CC4-5D6E-409C-BE32-E72D297353CC}">
              <c16:uniqueId val="{00000000-6215-459B-9DA7-706F5CDD8A7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96252799"/>
        <c:axId val="96251839"/>
      </c:barChart>
      <c:valAx>
        <c:axId val="96251839"/>
        <c:scaling>
          <c:orientation val="minMax"/>
          <c:max val="4000000"/>
          <c:min val="-2000000"/>
        </c:scaling>
        <c:delete val="0"/>
        <c:axPos val="t"/>
        <c:numFmt formatCode="0.00" sourceLinked="1"/>
        <c:majorTickMark val="out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96252799"/>
        <c:crosses val="max"/>
        <c:crossBetween val="between"/>
        <c:dispUnits>
          <c:builtInUnit val="thousands"/>
          <c:dispUnits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</c:dispUnitsLbl>
        </c:dispUnits>
      </c:valAx>
      <c:catAx>
        <c:axId val="96252799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96251839"/>
        <c:crosses val="autoZero"/>
        <c:auto val="1"/>
        <c:lblAlgn val="ctr"/>
        <c:lblOffset val="100"/>
        <c:noMultiLvlLbl val="0"/>
      </c:catAx>
      <c:spPr>
        <a:solidFill>
          <a:schemeClr val="bg1">
            <a:lumMod val="85000"/>
            <a:alpha val="0"/>
          </a:schemeClr>
        </a:solidFill>
        <a:ln cap="rnd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3175" cap="flat" cmpd="sng" algn="ctr">
      <a:solidFill>
        <a:schemeClr val="tx2">
          <a:lumMod val="40000"/>
          <a:lumOff val="60000"/>
        </a:schemeClr>
      </a:solidFill>
      <a:round/>
    </a:ln>
    <a:effectLst/>
  </c:spPr>
  <c:txPr>
    <a:bodyPr/>
    <a:lstStyle/>
    <a:p>
      <a:pPr>
        <a:defRPr lang="en-US" sz="1000" b="0" i="0" u="none" strike="noStrike" kern="1200" baseline="0">
          <a:solidFill>
            <a:schemeClr val="tx1"/>
          </a:solidFill>
          <a:latin typeface="+mn-lt"/>
          <a:ea typeface="+mn-ea"/>
          <a:cs typeface="+mn-cs"/>
        </a:defRPr>
      </a:pPr>
      <a:endParaRPr lang="pl-P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[Analiza kosztów i budżetu.xlsx]Pomocniczy!Tabela przestawna1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 sz="1600" b="1" i="0" u="none" strike="noStrike" baseline="0">
                <a:solidFill>
                  <a:srgbClr val="1F2A44"/>
                </a:solidFill>
              </a:rPr>
              <a:t>Analiza wykonania budżetu kosztów 2026</a:t>
            </a:r>
            <a:endParaRPr lang="pl-PL" sz="1600" b="1">
              <a:solidFill>
                <a:srgbClr val="1F2A44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rgbClr val="193F6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tx2">
                <a:lumMod val="60000"/>
                <a:lumOff val="40000"/>
              </a:schemeClr>
            </a:solidFill>
            <a:prstDash val="sysDash"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Pomocniczy!$B$46</c:f>
              <c:strCache>
                <c:ptCount val="1"/>
                <c:pt idx="0">
                  <c:v>M14.Koszty YTD</c:v>
                </c:pt>
              </c:strCache>
            </c:strRef>
          </c:tx>
          <c:spPr>
            <a:ln w="28575" cap="rnd">
              <a:solidFill>
                <a:srgbClr val="193F61"/>
              </a:solidFill>
              <a:round/>
            </a:ln>
            <a:effectLst/>
          </c:spPr>
          <c:marker>
            <c:symbol val="none"/>
          </c:marker>
          <c:cat>
            <c:strRef>
              <c:f>Pomocniczy!$A$47:$A$59</c:f>
              <c:strCache>
                <c:ptCount val="12"/>
                <c:pt idx="0">
                  <c:v>2026-01</c:v>
                </c:pt>
                <c:pt idx="1">
                  <c:v>2026-02</c:v>
                </c:pt>
                <c:pt idx="2">
                  <c:v>2026-03</c:v>
                </c:pt>
                <c:pt idx="3">
                  <c:v>2026-04</c:v>
                </c:pt>
                <c:pt idx="4">
                  <c:v>2026-05</c:v>
                </c:pt>
                <c:pt idx="5">
                  <c:v>2026-06</c:v>
                </c:pt>
                <c:pt idx="6">
                  <c:v>2026-07</c:v>
                </c:pt>
                <c:pt idx="7">
                  <c:v>2026-08</c:v>
                </c:pt>
                <c:pt idx="8">
                  <c:v>2026-09</c:v>
                </c:pt>
                <c:pt idx="9">
                  <c:v>2026-10</c:v>
                </c:pt>
                <c:pt idx="10">
                  <c:v>2026-11</c:v>
                </c:pt>
                <c:pt idx="11">
                  <c:v>2026-12</c:v>
                </c:pt>
              </c:strCache>
            </c:strRef>
          </c:cat>
          <c:val>
            <c:numRef>
              <c:f>Pomocniczy!$B$47:$B$59</c:f>
              <c:numCache>
                <c:formatCode>0.00</c:formatCode>
                <c:ptCount val="12"/>
                <c:pt idx="0">
                  <c:v>1828872.78</c:v>
                </c:pt>
                <c:pt idx="1">
                  <c:v>4067359.9800000004</c:v>
                </c:pt>
                <c:pt idx="2">
                  <c:v>6638731.6400000006</c:v>
                </c:pt>
                <c:pt idx="3">
                  <c:v>8878725.0700000003</c:v>
                </c:pt>
                <c:pt idx="4">
                  <c:v>10837167.970000001</c:v>
                </c:pt>
                <c:pt idx="5">
                  <c:v>13539027.140000001</c:v>
                </c:pt>
                <c:pt idx="6">
                  <c:v>15646399.470000001</c:v>
                </c:pt>
                <c:pt idx="7">
                  <c:v>17658361.52</c:v>
                </c:pt>
                <c:pt idx="8">
                  <c:v>19262678.699999999</c:v>
                </c:pt>
                <c:pt idx="9">
                  <c:v>21580294.629999999</c:v>
                </c:pt>
                <c:pt idx="10">
                  <c:v>23664587.399999999</c:v>
                </c:pt>
                <c:pt idx="11">
                  <c:v>26302095.119999997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4F4-4D4A-82DB-0EC19466C93C}"/>
            </c:ext>
          </c:extLst>
        </c:ser>
        <c:ser>
          <c:idx val="1"/>
          <c:order val="1"/>
          <c:tx>
            <c:strRef>
              <c:f>Pomocniczy!$C$46</c:f>
              <c:strCache>
                <c:ptCount val="1"/>
                <c:pt idx="0">
                  <c:v>M13.Budżet YTD</c:v>
                </c:pt>
              </c:strCache>
            </c:strRef>
          </c:tx>
          <c:spPr>
            <a:ln w="28575" cap="rnd">
              <a:solidFill>
                <a:schemeClr val="tx2">
                  <a:lumMod val="60000"/>
                  <a:lumOff val="40000"/>
                </a:schemeClr>
              </a:solidFill>
              <a:prstDash val="sysDash"/>
              <a:round/>
            </a:ln>
            <a:effectLst/>
          </c:spPr>
          <c:marker>
            <c:symbol val="none"/>
          </c:marker>
          <c:cat>
            <c:strRef>
              <c:f>Pomocniczy!$A$47:$A$59</c:f>
              <c:strCache>
                <c:ptCount val="12"/>
                <c:pt idx="0">
                  <c:v>2026-01</c:v>
                </c:pt>
                <c:pt idx="1">
                  <c:v>2026-02</c:v>
                </c:pt>
                <c:pt idx="2">
                  <c:v>2026-03</c:v>
                </c:pt>
                <c:pt idx="3">
                  <c:v>2026-04</c:v>
                </c:pt>
                <c:pt idx="4">
                  <c:v>2026-05</c:v>
                </c:pt>
                <c:pt idx="5">
                  <c:v>2026-06</c:v>
                </c:pt>
                <c:pt idx="6">
                  <c:v>2026-07</c:v>
                </c:pt>
                <c:pt idx="7">
                  <c:v>2026-08</c:v>
                </c:pt>
                <c:pt idx="8">
                  <c:v>2026-09</c:v>
                </c:pt>
                <c:pt idx="9">
                  <c:v>2026-10</c:v>
                </c:pt>
                <c:pt idx="10">
                  <c:v>2026-11</c:v>
                </c:pt>
                <c:pt idx="11">
                  <c:v>2026-12</c:v>
                </c:pt>
              </c:strCache>
            </c:strRef>
          </c:cat>
          <c:val>
            <c:numRef>
              <c:f>Pomocniczy!$C$47:$C$59</c:f>
              <c:numCache>
                <c:formatCode>0.00</c:formatCode>
                <c:ptCount val="12"/>
                <c:pt idx="0">
                  <c:v>2063524.38</c:v>
                </c:pt>
                <c:pt idx="1">
                  <c:v>3660473.73</c:v>
                </c:pt>
                <c:pt idx="2">
                  <c:v>5477806.8799999999</c:v>
                </c:pt>
                <c:pt idx="3">
                  <c:v>6960013.4399999995</c:v>
                </c:pt>
                <c:pt idx="4">
                  <c:v>8811996.5199999996</c:v>
                </c:pt>
                <c:pt idx="5">
                  <c:v>10729758.529999999</c:v>
                </c:pt>
                <c:pt idx="6">
                  <c:v>12966469.939999999</c:v>
                </c:pt>
                <c:pt idx="7">
                  <c:v>14579610.5</c:v>
                </c:pt>
                <c:pt idx="8">
                  <c:v>16097120.120000001</c:v>
                </c:pt>
                <c:pt idx="9">
                  <c:v>17499397.18</c:v>
                </c:pt>
                <c:pt idx="10">
                  <c:v>18871351.239999998</c:v>
                </c:pt>
                <c:pt idx="11">
                  <c:v>20165978.029999997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4F4-4D4A-82DB-0EC19466C9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49740655"/>
        <c:axId val="749753135"/>
      </c:lineChart>
      <c:catAx>
        <c:axId val="7497406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749753135"/>
        <c:crosses val="autoZero"/>
        <c:auto val="1"/>
        <c:lblAlgn val="ctr"/>
        <c:lblOffset val="100"/>
        <c:noMultiLvlLbl val="0"/>
      </c:catAx>
      <c:valAx>
        <c:axId val="7497531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749740655"/>
        <c:crosses val="autoZero"/>
        <c:crossBetween val="between"/>
        <c:dispUnits>
          <c:builtInUnit val="million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</c:dispUnitsLbl>
        </c:dispUnits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3175" cap="flat" cmpd="sng" algn="ctr">
      <a:solidFill>
        <a:schemeClr val="tx2">
          <a:lumMod val="40000"/>
          <a:lumOff val="60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279763</xdr:colOff>
      <xdr:row>20</xdr:row>
      <xdr:rowOff>86591</xdr:rowOff>
    </xdr:from>
    <xdr:to>
      <xdr:col>15</xdr:col>
      <xdr:colOff>397610</xdr:colOff>
      <xdr:row>38</xdr:row>
      <xdr:rowOff>130084</xdr:rowOff>
    </xdr:to>
    <xdr:graphicFrame macro="">
      <xdr:nvGraphicFramePr>
        <xdr:cNvPr id="8" name="Wykres 7">
          <a:extLst>
            <a:ext uri="{FF2B5EF4-FFF2-40B4-BE49-F238E27FC236}">
              <a16:creationId xmlns:a16="http://schemas.microsoft.com/office/drawing/2014/main" id="{DEF9E809-B77D-4BEA-ABE8-67F7294193E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313631</xdr:colOff>
      <xdr:row>20</xdr:row>
      <xdr:rowOff>86590</xdr:rowOff>
    </xdr:from>
    <xdr:to>
      <xdr:col>8</xdr:col>
      <xdr:colOff>103141</xdr:colOff>
      <xdr:row>38</xdr:row>
      <xdr:rowOff>130083</xdr:rowOff>
    </xdr:to>
    <xdr:graphicFrame macro="">
      <xdr:nvGraphicFramePr>
        <xdr:cNvPr id="12" name="Wykres 11">
          <a:extLst>
            <a:ext uri="{FF2B5EF4-FFF2-40B4-BE49-F238E27FC236}">
              <a16:creationId xmlns:a16="http://schemas.microsoft.com/office/drawing/2014/main" id="{D2317729-5B91-46D4-BC7D-0CD9D624ED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247923</xdr:colOff>
      <xdr:row>1</xdr:row>
      <xdr:rowOff>97699</xdr:rowOff>
    </xdr:from>
    <xdr:to>
      <xdr:col>15</xdr:col>
      <xdr:colOff>457200</xdr:colOff>
      <xdr:row>19</xdr:row>
      <xdr:rowOff>0</xdr:rowOff>
    </xdr:to>
    <xdr:graphicFrame macro="">
      <xdr:nvGraphicFramePr>
        <xdr:cNvPr id="13" name="Wykres 12">
          <a:extLst>
            <a:ext uri="{FF2B5EF4-FFF2-40B4-BE49-F238E27FC236}">
              <a16:creationId xmlns:a16="http://schemas.microsoft.com/office/drawing/2014/main" id="{10998E2E-260D-4CED-A549-F7E1E953C76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15</xdr:col>
      <xdr:colOff>650095</xdr:colOff>
      <xdr:row>31</xdr:row>
      <xdr:rowOff>15151</xdr:rowOff>
    </xdr:from>
    <xdr:to>
      <xdr:col>19</xdr:col>
      <xdr:colOff>19352</xdr:colOff>
      <xdr:row>39</xdr:row>
      <xdr:rowOff>19686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6" name="Dysponent">
              <a:extLst>
                <a:ext uri="{FF2B5EF4-FFF2-40B4-BE49-F238E27FC236}">
                  <a16:creationId xmlns:a16="http://schemas.microsoft.com/office/drawing/2014/main" id="{0EEF5E0A-FCD9-71D5-AF73-D329366AAB5A}"/>
                </a:ext>
              </a:extLst>
            </xdr:cNvPr>
            <xdr:cNvGraphicFramePr>
              <a:graphicFrameLocks/>
            </xdr:cNvGraphicFramePr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Dysponent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5699595" y="6988086"/>
              <a:ext cx="2496632" cy="13977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l-PL" sz="1100"/>
                <a:t>Ten kształt odzwierciedla fragmentator. Fragmentatory są obsługiwane w programie Excel 2010 i nowszych wersjach.
Jeśli kształt został zmodyfikowany w starszej wersji programu Excel lub jeśli skoroszyt został zapisany w programie Excel 2003 albo starszej wersji, korzystanie z fragmentatora jest niemożliwe.</a:t>
              </a:r>
            </a:p>
          </xdr:txBody>
        </xdr:sp>
      </mc:Fallback>
    </mc:AlternateContent>
    <xdr:clientData/>
  </xdr:twoCellAnchor>
  <xdr:twoCellAnchor editAs="oneCell">
    <xdr:from>
      <xdr:col>15</xdr:col>
      <xdr:colOff>637276</xdr:colOff>
      <xdr:row>16</xdr:row>
      <xdr:rowOff>359303</xdr:rowOff>
    </xdr:from>
    <xdr:to>
      <xdr:col>19</xdr:col>
      <xdr:colOff>1763</xdr:colOff>
      <xdr:row>30</xdr:row>
      <xdr:rowOff>79375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7" name="Grupa kosztowa">
              <a:extLst>
                <a:ext uri="{FF2B5EF4-FFF2-40B4-BE49-F238E27FC236}">
                  <a16:creationId xmlns:a16="http://schemas.microsoft.com/office/drawing/2014/main" id="{F7E0EA02-19E3-4721-C98C-6FDD5D8FC4A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Grupa kosztowa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5684871" y="4363613"/>
              <a:ext cx="2493767" cy="2510262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l-PL" sz="1100"/>
                <a:t>Ten kształt odzwierciedla fragmentator. Fragmentatory są obsługiwane w programie Excel 2010 i nowszych wersjach.
Jeśli kształt został zmodyfikowany w starszej wersji programu Excel lub jeśli skoroszyt został zapisany w programie Excel 2003 albo starszej wersji, korzystanie z fragmentatora jest niemożliwe.</a:t>
              </a:r>
            </a:p>
          </xdr:txBody>
        </xdr:sp>
      </mc:Fallback>
    </mc:AlternateContent>
    <xdr:clientData/>
  </xdr:twoCellAnchor>
  <xdr:twoCellAnchor editAs="oneCell">
    <xdr:from>
      <xdr:col>15</xdr:col>
      <xdr:colOff>670469</xdr:colOff>
      <xdr:row>6</xdr:row>
      <xdr:rowOff>329927</xdr:rowOff>
    </xdr:from>
    <xdr:to>
      <xdr:col>19</xdr:col>
      <xdr:colOff>22493</xdr:colOff>
      <xdr:row>16</xdr:row>
      <xdr:rowOff>246380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8" name="MPK">
              <a:extLst>
                <a:ext uri="{FF2B5EF4-FFF2-40B4-BE49-F238E27FC236}">
                  <a16:creationId xmlns:a16="http://schemas.microsoft.com/office/drawing/2014/main" id="{D922F8E9-9235-5086-0A72-1CACA132E36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PK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5716159" y="1770742"/>
              <a:ext cx="2483209" cy="247613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l-PL" sz="1100"/>
                <a:t>Ten kształt odzwierciedla fragmentator. Fragmentatory są obsługiwane w programie Excel 2010 i nowszych wersjach.
Jeśli kształt został zmodyfikowany w starszej wersji programu Excel lub jeśli skoroszyt został zapisany w programie Excel 2003 albo starszej wersji, korzystanie z fragmentatora jest niemożliwe.</a:t>
              </a:r>
            </a:p>
          </xdr:txBody>
        </xdr:sp>
      </mc:Fallback>
    </mc:AlternateContent>
    <xdr:clientData/>
  </xdr:twoCellAnchor>
  <xdr:twoCellAnchor editAs="oneCell">
    <xdr:from>
      <xdr:col>15</xdr:col>
      <xdr:colOff>656953</xdr:colOff>
      <xdr:row>1</xdr:row>
      <xdr:rowOff>118109</xdr:rowOff>
    </xdr:from>
    <xdr:to>
      <xdr:col>18</xdr:col>
      <xdr:colOff>436382</xdr:colOff>
      <xdr:row>6</xdr:row>
      <xdr:rowOff>190500</xdr:rowOff>
    </xdr:to>
    <mc:AlternateContent xmlns:mc="http://schemas.openxmlformats.org/markup-compatibility/2006" xmlns:tsle="http://schemas.microsoft.com/office/drawing/2012/timeslicer">
      <mc:Choice Requires="tsle">
        <xdr:graphicFrame macro="">
          <xdr:nvGraphicFramePr>
            <xdr:cNvPr id="19" name="Data">
              <a:extLst>
                <a:ext uri="{FF2B5EF4-FFF2-40B4-BE49-F238E27FC236}">
                  <a16:creationId xmlns:a16="http://schemas.microsoft.com/office/drawing/2014/main" id="{80032319-4CC3-C89D-3F92-16CBD363543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2/timeslicer">
              <tsle:timeslicer name="Data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5708358" y="260984"/>
              <a:ext cx="2444524" cy="137414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l-PL" sz="1100"/>
                <a:t>Oś czasu: działa w programie Excel 2013 lub nowszym. Nie przenoś ani nie zmieniaj rozmiaru.</a:t>
              </a:r>
            </a:p>
          </xdr:txBody>
        </xdr:sp>
      </mc:Fallback>
    </mc:AlternateContent>
    <xdr:clientData/>
  </xdr:twoCellAnchor>
  <xdr:twoCellAnchor>
    <xdr:from>
      <xdr:col>1</xdr:col>
      <xdr:colOff>57769</xdr:colOff>
      <xdr:row>20</xdr:row>
      <xdr:rowOff>86591</xdr:rowOff>
    </xdr:from>
    <xdr:to>
      <xdr:col>4</xdr:col>
      <xdr:colOff>134735</xdr:colOff>
      <xdr:row>38</xdr:row>
      <xdr:rowOff>123133</xdr:rowOff>
    </xdr:to>
    <xdr:graphicFrame macro="">
      <xdr:nvGraphicFramePr>
        <xdr:cNvPr id="25" name="Wykres 24">
          <a:extLst>
            <a:ext uri="{FF2B5EF4-FFF2-40B4-BE49-F238E27FC236}">
              <a16:creationId xmlns:a16="http://schemas.microsoft.com/office/drawing/2014/main" id="{35E5F7F5-F0E6-4CFF-B462-F1377AE73B2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10186</xdr:colOff>
      <xdr:row>1</xdr:row>
      <xdr:rowOff>8282</xdr:rowOff>
    </xdr:from>
    <xdr:to>
      <xdr:col>8</xdr:col>
      <xdr:colOff>16564</xdr:colOff>
      <xdr:row>4</xdr:row>
      <xdr:rowOff>21037</xdr:rowOff>
    </xdr:to>
    <xdr:sp macro="" textlink="">
      <xdr:nvSpPr>
        <xdr:cNvPr id="7" name="Prostokąt: zaokrąglone rogi 6">
          <a:extLst>
            <a:ext uri="{FF2B5EF4-FFF2-40B4-BE49-F238E27FC236}">
              <a16:creationId xmlns:a16="http://schemas.microsoft.com/office/drawing/2014/main" id="{28C780E8-05C9-4412-AFB8-B1B063C6AFC6}"/>
            </a:ext>
          </a:extLst>
        </xdr:cNvPr>
        <xdr:cNvSpPr/>
      </xdr:nvSpPr>
      <xdr:spPr>
        <a:xfrm>
          <a:off x="7447969" y="149086"/>
          <a:ext cx="1828552" cy="1097777"/>
        </a:xfrm>
        <a:prstGeom prst="roundRect">
          <a:avLst>
            <a:gd name="adj" fmla="val 7427"/>
          </a:avLst>
        </a:prstGeom>
        <a:noFill/>
        <a:ln w="12700" cap="rnd">
          <a:solidFill>
            <a:schemeClr val="tx2">
              <a:lumMod val="60000"/>
              <a:lumOff val="40000"/>
            </a:schemeClr>
          </a:solidFill>
          <a:miter lim="800000"/>
        </a:ln>
        <a:effectLst>
          <a:outerShdw blurRad="44450" dist="27940" dir="5400000" algn="ctr">
            <a:srgbClr val="000000">
              <a:alpha val="32000"/>
            </a:srgbClr>
          </a:outerShdw>
        </a:effectLst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pl-PL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7</xdr:col>
      <xdr:colOff>8282</xdr:colOff>
      <xdr:row>5</xdr:row>
      <xdr:rowOff>10188</xdr:rowOff>
    </xdr:from>
    <xdr:to>
      <xdr:col>8</xdr:col>
      <xdr:colOff>5135</xdr:colOff>
      <xdr:row>8</xdr:row>
      <xdr:rowOff>290554</xdr:rowOff>
    </xdr:to>
    <xdr:sp macro="" textlink="">
      <xdr:nvSpPr>
        <xdr:cNvPr id="20" name="Prostokąt: zaokrąglone rogi 19">
          <a:extLst>
            <a:ext uri="{FF2B5EF4-FFF2-40B4-BE49-F238E27FC236}">
              <a16:creationId xmlns:a16="http://schemas.microsoft.com/office/drawing/2014/main" id="{E4A6DA5F-0ABA-4391-A739-48126D8661B2}"/>
            </a:ext>
          </a:extLst>
        </xdr:cNvPr>
        <xdr:cNvSpPr/>
      </xdr:nvSpPr>
      <xdr:spPr>
        <a:xfrm>
          <a:off x="7446065" y="1534188"/>
          <a:ext cx="1819027" cy="1092062"/>
        </a:xfrm>
        <a:prstGeom prst="roundRect">
          <a:avLst>
            <a:gd name="adj" fmla="val 7427"/>
          </a:avLst>
        </a:prstGeom>
        <a:noFill/>
        <a:ln w="12700" cap="rnd">
          <a:solidFill>
            <a:schemeClr val="tx2">
              <a:lumMod val="60000"/>
              <a:lumOff val="40000"/>
            </a:schemeClr>
          </a:solidFill>
          <a:miter lim="800000"/>
        </a:ln>
        <a:effectLst>
          <a:outerShdw blurRad="44450" dist="27940" dir="5400000" algn="ctr">
            <a:srgbClr val="000000">
              <a:alpha val="32000"/>
            </a:srgbClr>
          </a:outerShdw>
        </a:effectLst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pl-PL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7</xdr:col>
      <xdr:colOff>24848</xdr:colOff>
      <xdr:row>9</xdr:row>
      <xdr:rowOff>298173</xdr:rowOff>
    </xdr:from>
    <xdr:to>
      <xdr:col>8</xdr:col>
      <xdr:colOff>21701</xdr:colOff>
      <xdr:row>13</xdr:row>
      <xdr:rowOff>268936</xdr:rowOff>
    </xdr:to>
    <xdr:sp macro="" textlink="">
      <xdr:nvSpPr>
        <xdr:cNvPr id="27" name="Prostokąt: zaokrąglone rogi 26">
          <a:extLst>
            <a:ext uri="{FF2B5EF4-FFF2-40B4-BE49-F238E27FC236}">
              <a16:creationId xmlns:a16="http://schemas.microsoft.com/office/drawing/2014/main" id="{74540F31-23B9-4F07-9352-602B5192FA18}"/>
            </a:ext>
          </a:extLst>
        </xdr:cNvPr>
        <xdr:cNvSpPr/>
      </xdr:nvSpPr>
      <xdr:spPr>
        <a:xfrm>
          <a:off x="7462631" y="2932043"/>
          <a:ext cx="1819027" cy="1080632"/>
        </a:xfrm>
        <a:prstGeom prst="roundRect">
          <a:avLst>
            <a:gd name="adj" fmla="val 7427"/>
          </a:avLst>
        </a:prstGeom>
        <a:noFill/>
        <a:ln w="12700" cap="rnd">
          <a:solidFill>
            <a:schemeClr val="tx2">
              <a:lumMod val="60000"/>
              <a:lumOff val="40000"/>
            </a:schemeClr>
          </a:solidFill>
          <a:miter lim="800000"/>
        </a:ln>
        <a:effectLst>
          <a:outerShdw blurRad="44450" dist="27940" dir="5400000" algn="ctr">
            <a:srgbClr val="000000">
              <a:alpha val="32000"/>
            </a:srgbClr>
          </a:outerShdw>
        </a:effectLst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pl-PL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7</xdr:col>
      <xdr:colOff>20374</xdr:colOff>
      <xdr:row>14</xdr:row>
      <xdr:rowOff>177993</xdr:rowOff>
    </xdr:from>
    <xdr:to>
      <xdr:col>8</xdr:col>
      <xdr:colOff>17227</xdr:colOff>
      <xdr:row>19</xdr:row>
      <xdr:rowOff>10027</xdr:rowOff>
    </xdr:to>
    <xdr:sp macro="" textlink="">
      <xdr:nvSpPr>
        <xdr:cNvPr id="28" name="Prostokąt: zaokrąglone rogi 27">
          <a:extLst>
            <a:ext uri="{FF2B5EF4-FFF2-40B4-BE49-F238E27FC236}">
              <a16:creationId xmlns:a16="http://schemas.microsoft.com/office/drawing/2014/main" id="{5EAD8B5F-EFEE-428E-8320-441D07EAB778}"/>
            </a:ext>
          </a:extLst>
        </xdr:cNvPr>
        <xdr:cNvSpPr/>
      </xdr:nvSpPr>
      <xdr:spPr>
        <a:xfrm>
          <a:off x="7500006" y="3867677"/>
          <a:ext cx="1816629" cy="1070284"/>
        </a:xfrm>
        <a:prstGeom prst="roundRect">
          <a:avLst>
            <a:gd name="adj" fmla="val 7427"/>
          </a:avLst>
        </a:prstGeom>
        <a:noFill/>
        <a:ln w="12700" cap="rnd">
          <a:solidFill>
            <a:schemeClr val="tx2">
              <a:lumMod val="60000"/>
              <a:lumOff val="40000"/>
            </a:schemeClr>
          </a:solidFill>
          <a:miter lim="800000"/>
        </a:ln>
        <a:effectLst>
          <a:outerShdw blurRad="44450" dist="27940" dir="5400000" algn="ctr">
            <a:srgbClr val="000000">
              <a:alpha val="32000"/>
            </a:srgbClr>
          </a:outerShdw>
        </a:effectLst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pl-PL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0</xdr:col>
      <xdr:colOff>171450</xdr:colOff>
      <xdr:row>5</xdr:row>
      <xdr:rowOff>19050</xdr:rowOff>
    </xdr:from>
    <xdr:to>
      <xdr:col>6</xdr:col>
      <xdr:colOff>0</xdr:colOff>
      <xdr:row>9</xdr:row>
      <xdr:rowOff>23812</xdr:rowOff>
    </xdr:to>
    <xdr:sp macro="" textlink="">
      <xdr:nvSpPr>
        <xdr:cNvPr id="29" name="Prostokąt: zaokrąglone rogi 28">
          <a:extLst>
            <a:ext uri="{FF2B5EF4-FFF2-40B4-BE49-F238E27FC236}">
              <a16:creationId xmlns:a16="http://schemas.microsoft.com/office/drawing/2014/main" id="{8429F6FE-9F4C-473D-8360-0A667F079191}"/>
            </a:ext>
          </a:extLst>
        </xdr:cNvPr>
        <xdr:cNvSpPr/>
      </xdr:nvSpPr>
      <xdr:spPr>
        <a:xfrm>
          <a:off x="171450" y="1298972"/>
          <a:ext cx="6757988" cy="1058465"/>
        </a:xfrm>
        <a:prstGeom prst="roundRect">
          <a:avLst>
            <a:gd name="adj" fmla="val 7427"/>
          </a:avLst>
        </a:prstGeom>
        <a:noFill/>
        <a:ln w="12700" cap="rnd">
          <a:solidFill>
            <a:schemeClr val="tx2">
              <a:lumMod val="60000"/>
              <a:lumOff val="40000"/>
            </a:schemeClr>
          </a:solidFill>
          <a:miter lim="800000"/>
        </a:ln>
        <a:effectLst>
          <a:outerShdw blurRad="44450" dist="27940" dir="5400000" algn="ctr">
            <a:srgbClr val="000000">
              <a:alpha val="32000"/>
            </a:srgbClr>
          </a:outerShdw>
        </a:effectLst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pl-PL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</xdr:col>
      <xdr:colOff>15240</xdr:colOff>
      <xdr:row>10</xdr:row>
      <xdr:rowOff>24765</xdr:rowOff>
    </xdr:from>
    <xdr:to>
      <xdr:col>6</xdr:col>
      <xdr:colOff>26670</xdr:colOff>
      <xdr:row>14</xdr:row>
      <xdr:rowOff>0</xdr:rowOff>
    </xdr:to>
    <xdr:sp macro="" textlink="">
      <xdr:nvSpPr>
        <xdr:cNvPr id="30" name="Prostokąt: zaokrąglone rogi 29">
          <a:extLst>
            <a:ext uri="{FF2B5EF4-FFF2-40B4-BE49-F238E27FC236}">
              <a16:creationId xmlns:a16="http://schemas.microsoft.com/office/drawing/2014/main" id="{472F6AB4-80E9-40CE-86FA-E83AC9B73DFF}"/>
            </a:ext>
          </a:extLst>
        </xdr:cNvPr>
        <xdr:cNvSpPr/>
      </xdr:nvSpPr>
      <xdr:spPr>
        <a:xfrm>
          <a:off x="205740" y="2551397"/>
          <a:ext cx="6739088" cy="1138287"/>
        </a:xfrm>
        <a:prstGeom prst="roundRect">
          <a:avLst>
            <a:gd name="adj" fmla="val 7427"/>
          </a:avLst>
        </a:prstGeom>
        <a:noFill/>
        <a:ln w="12700" cap="rnd">
          <a:solidFill>
            <a:schemeClr val="tx2">
              <a:lumMod val="60000"/>
              <a:lumOff val="40000"/>
            </a:schemeClr>
          </a:solidFill>
          <a:miter lim="800000"/>
        </a:ln>
        <a:effectLst>
          <a:outerShdw blurRad="44450" dist="27940" dir="5400000" algn="ctr">
            <a:srgbClr val="000000">
              <a:alpha val="32000"/>
            </a:srgbClr>
          </a:outerShdw>
        </a:effectLst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pl-PL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</xdr:col>
      <xdr:colOff>0</xdr:colOff>
      <xdr:row>14</xdr:row>
      <xdr:rowOff>171449</xdr:rowOff>
    </xdr:from>
    <xdr:to>
      <xdr:col>6</xdr:col>
      <xdr:colOff>20955</xdr:colOff>
      <xdr:row>19</xdr:row>
      <xdr:rowOff>5013</xdr:rowOff>
    </xdr:to>
    <xdr:sp macro="" textlink="">
      <xdr:nvSpPr>
        <xdr:cNvPr id="31" name="Prostokąt: zaokrąglone rogi 30">
          <a:extLst>
            <a:ext uri="{FF2B5EF4-FFF2-40B4-BE49-F238E27FC236}">
              <a16:creationId xmlns:a16="http://schemas.microsoft.com/office/drawing/2014/main" id="{93095FF6-D9F4-4DBB-B837-01F400B113E9}"/>
            </a:ext>
          </a:extLst>
        </xdr:cNvPr>
        <xdr:cNvSpPr/>
      </xdr:nvSpPr>
      <xdr:spPr>
        <a:xfrm>
          <a:off x="190500" y="3861133"/>
          <a:ext cx="6748613" cy="1071814"/>
        </a:xfrm>
        <a:prstGeom prst="roundRect">
          <a:avLst>
            <a:gd name="adj" fmla="val 7427"/>
          </a:avLst>
        </a:prstGeom>
        <a:noFill/>
        <a:ln w="12700" cap="rnd">
          <a:solidFill>
            <a:schemeClr val="tx2">
              <a:lumMod val="60000"/>
              <a:lumOff val="40000"/>
            </a:schemeClr>
          </a:solidFill>
          <a:miter lim="800000"/>
        </a:ln>
        <a:effectLst>
          <a:outerShdw blurRad="44450" dist="27940" dir="5400000" algn="ctr">
            <a:srgbClr val="000000">
              <a:alpha val="32000"/>
            </a:srgbClr>
          </a:outerShdw>
        </a:effectLst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pl-PL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240030</xdr:colOff>
      <xdr:row>1</xdr:row>
      <xdr:rowOff>53339</xdr:rowOff>
    </xdr:from>
    <xdr:to>
      <xdr:col>2</xdr:col>
      <xdr:colOff>0</xdr:colOff>
      <xdr:row>9</xdr:row>
      <xdr:rowOff>11905</xdr:rowOff>
    </xdr:to>
    <xdr:sp macro="" textlink="">
      <xdr:nvSpPr>
        <xdr:cNvPr id="2" name="Prostokąt: zaokrąglone rogi 1">
          <a:extLst>
            <a:ext uri="{FF2B5EF4-FFF2-40B4-BE49-F238E27FC236}">
              <a16:creationId xmlns:a16="http://schemas.microsoft.com/office/drawing/2014/main" id="{54C94F73-EE01-44A3-9FA5-C2BF7573AFD1}"/>
            </a:ext>
          </a:extLst>
        </xdr:cNvPr>
        <xdr:cNvSpPr/>
      </xdr:nvSpPr>
      <xdr:spPr>
        <a:xfrm>
          <a:off x="240030" y="225980"/>
          <a:ext cx="11243548" cy="1702831"/>
        </a:xfrm>
        <a:prstGeom prst="roundRect">
          <a:avLst>
            <a:gd name="adj" fmla="val 7427"/>
          </a:avLst>
        </a:prstGeom>
        <a:noFill/>
        <a:ln w="12700" cap="rnd">
          <a:solidFill>
            <a:schemeClr val="tx2">
              <a:lumMod val="60000"/>
              <a:lumOff val="40000"/>
            </a:schemeClr>
          </a:solidFill>
          <a:miter lim="800000"/>
        </a:ln>
        <a:effectLst>
          <a:outerShdw blurRad="44450" dist="27940" dir="5400000" algn="ctr">
            <a:srgbClr val="000000">
              <a:alpha val="32000"/>
            </a:srgbClr>
          </a:outerShdw>
        </a:effectLst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pl-PL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0</xdr:col>
      <xdr:colOff>247650</xdr:colOff>
      <xdr:row>10</xdr:row>
      <xdr:rowOff>1905</xdr:rowOff>
    </xdr:from>
    <xdr:to>
      <xdr:col>2</xdr:col>
      <xdr:colOff>1</xdr:colOff>
      <xdr:row>16</xdr:row>
      <xdr:rowOff>65484</xdr:rowOff>
    </xdr:to>
    <xdr:sp macro="" textlink="">
      <xdr:nvSpPr>
        <xdr:cNvPr id="3" name="Prostokąt: zaokrąglone rogi 2">
          <a:extLst>
            <a:ext uri="{FF2B5EF4-FFF2-40B4-BE49-F238E27FC236}">
              <a16:creationId xmlns:a16="http://schemas.microsoft.com/office/drawing/2014/main" id="{2DF78930-A900-4125-9294-F56060E277BF}"/>
            </a:ext>
          </a:extLst>
        </xdr:cNvPr>
        <xdr:cNvSpPr/>
      </xdr:nvSpPr>
      <xdr:spPr>
        <a:xfrm>
          <a:off x="247650" y="2156936"/>
          <a:ext cx="11235929" cy="1664970"/>
        </a:xfrm>
        <a:prstGeom prst="roundRect">
          <a:avLst>
            <a:gd name="adj" fmla="val 7427"/>
          </a:avLst>
        </a:prstGeom>
        <a:noFill/>
        <a:ln w="12700" cap="rnd">
          <a:solidFill>
            <a:schemeClr val="tx2">
              <a:lumMod val="60000"/>
              <a:lumOff val="40000"/>
            </a:schemeClr>
          </a:solidFill>
          <a:miter lim="800000"/>
        </a:ln>
        <a:effectLst>
          <a:outerShdw blurRad="44450" dist="27940" dir="5400000" algn="ctr">
            <a:srgbClr val="000000">
              <a:alpha val="32000"/>
            </a:srgbClr>
          </a:outerShdw>
        </a:effectLst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pl-PL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Joanna Sulikowska" refreshedDate="46179.808849305555" backgroundQuery="1" createdVersion="8" refreshedVersion="8" minRefreshableVersion="3" recordCount="0" supportSubquery="1" supportAdvancedDrill="1" xr:uid="{3414D5A8-2836-4B40-AD40-F73E56BA5E7D}">
  <cacheSource type="external" connectionId="1"/>
  <cacheFields count="9">
    <cacheField name="[Measures].[M05.Koszty 2026]" caption="M05.Koszty 2026" numFmtId="0" hierarchy="27" level="32767"/>
    <cacheField name="[Measures].[M06.Budżet 2026]" caption="M06.Budżet 2026" numFmtId="0" hierarchy="28" level="32767"/>
    <cacheField name="[Measures].[M07.Odchylenie 2026]" caption="M07.Odchylenie 2026" numFmtId="0" hierarchy="29" level="32767"/>
    <cacheField name="[Plan kont].[MPK].[MPK]" caption="MPK" numFmtId="0" hierarchy="16" level="1">
      <sharedItems count="13">
        <s v="301 Zakład nr 1"/>
        <s v="302 Zakład nr 2"/>
        <s v="303 Zakład nr 3"/>
        <s v="305 Zakład nr 5"/>
        <s v="306 Zakład nr 6"/>
        <s v="308 Zakład nr 8"/>
        <s v="309 Zakład nr 9"/>
        <s v="411 Dział nieruchomości"/>
        <s v="412 Dział techniczny"/>
        <s v="513 Dział marketingu"/>
        <s v="517 Administracja"/>
        <s v="518 Dział inwestycyjny"/>
        <s v="521 Zarząd"/>
      </sharedItems>
    </cacheField>
    <cacheField name="[Measures].[M11.Odchylenie2026%]" caption="M11.Odchylenie2026%" numFmtId="0" hierarchy="33" level="32767"/>
    <cacheField name="[Measures].[M08.Realizacja 2026]" caption="M08.Realizacja 2026" numFmtId="0" hierarchy="30" level="32767"/>
    <cacheField name="Unsupported0" numFmtId="0" hierarchy="45" level="32767">
      <extLst>
        <ext xmlns:x14="http://schemas.microsoft.com/office/spreadsheetml/2009/9/main" uri="{63CAB8AC-B538-458d-9737-405883B0398D}">
          <x14:cacheField ignore="1"/>
        </ext>
      </extLst>
    </cacheField>
    <cacheField name="Unsupported1" numFmtId="0" hierarchy="46" level="32767">
      <extLst>
        <ext xmlns:x14="http://schemas.microsoft.com/office/spreadsheetml/2009/9/main" uri="{63CAB8AC-B538-458d-9737-405883B0398D}">
          <x14:cacheField ignore="1"/>
        </ext>
      </extLst>
    </cacheField>
    <cacheField name="Unsupported2" numFmtId="0" hierarchy="47" level="32767">
      <extLst>
        <ext xmlns:x14="http://schemas.microsoft.com/office/spreadsheetml/2009/9/main" uri="{63CAB8AC-B538-458d-9737-405883B0398D}">
          <x14:cacheField ignore="1"/>
        </ext>
      </extLst>
    </cacheField>
  </cacheFields>
  <cacheHierarchies count="48">
    <cacheHierarchy uniqueName="[Budżet].[Konto]" caption="Konto" attribute="1" defaultMemberUniqueName="[Budżet].[Konto].[All]" allUniqueName="[Budżet].[Konto].[All]" dimensionUniqueName="[Budżet]" displayFolder="" count="0" memberValueDatatype="20" unbalanced="0"/>
    <cacheHierarchy uniqueName="[Budżet].[Data]" caption="Data" attribute="1" time="1" defaultMemberUniqueName="[Budżet].[Data].[All]" allUniqueName="[Budżet].[Data].[All]" dimensionUniqueName="[Budżet]" displayFolder="" count="0" memberValueDatatype="7" unbalanced="0"/>
    <cacheHierarchy uniqueName="[Budżet].[Budżet]" caption="Budżet" attribute="1" defaultMemberUniqueName="[Budżet].[Budżet].[All]" allUniqueName="[Budżet].[Budżet].[All]" dimensionUniqueName="[Budżet]" displayFolder="" count="0" memberValueDatatype="5" unbalanced="0"/>
    <cacheHierarchy uniqueName="[Kalendarz].[Data]" caption="Data" attribute="1" time="1" keyAttribute="1" defaultMemberUniqueName="[Kalendarz].[Data].[All]" allUniqueName="[Kalendarz].[Data].[All]" dimensionUniqueName="[Kalendarz]" displayFolder="" count="2" memberValueDatatype="7" unbalanced="0"/>
    <cacheHierarchy uniqueName="[Kalendarz].[Rok]" caption="Rok" attribute="1" time="1" defaultMemberUniqueName="[Kalendarz].[Rok].[All]" allUniqueName="[Kalendarz].[Rok].[All]" dimensionUniqueName="[Kalendarz]" displayFolder="" count="0" memberValueDatatype="20" unbalanced="0"/>
    <cacheHierarchy uniqueName="[Kalendarz].[Hierarchia Rok Miesiąc]" caption="Hierarchia Rok Miesiąc" time="1" defaultMemberUniqueName="[Kalendarz].[Hierarchia Rok Miesiąc].[All]" allUniqueName="[Kalendarz].[Hierarchia Rok Miesiąc].[All]" dimensionUniqueName="[Kalendarz]" displayFolder="" count="0" unbalanced="0"/>
    <cacheHierarchy uniqueName="[Kalendarz].[MiesiacNr]" caption="MiesiacNr" attribute="1" time="1" defaultMemberUniqueName="[Kalendarz].[MiesiacNr].[All]" allUniqueName="[Kalendarz].[MiesiacNr].[All]" dimensionUniqueName="[Kalendarz]" displayFolder="" count="0" memberValueDatatype="20" unbalanced="0"/>
    <cacheHierarchy uniqueName="[Kalendarz].[Miesiac]" caption="Miesiac" attribute="1" time="1" defaultMemberUniqueName="[Kalendarz].[Miesiac].[All]" allUniqueName="[Kalendarz].[Miesiac].[All]" dimensionUniqueName="[Kalendarz]" displayFolder="" count="0" memberValueDatatype="130" unbalanced="0"/>
    <cacheHierarchy uniqueName="[Kalendarz].[Kwartał]" caption="Kwartał" attribute="1" time="1" defaultMemberUniqueName="[Kalendarz].[Kwartał].[All]" allUniqueName="[Kalendarz].[Kwartał].[All]" dimensionUniqueName="[Kalendarz]" displayFolder="" count="0" memberValueDatatype="130" unbalanced="0"/>
    <cacheHierarchy uniqueName="[Kalendarz].[DzienTygodnia]" caption="DzienTygodnia" attribute="1" time="1" defaultMemberUniqueName="[Kalendarz].[DzienTygodnia].[All]" allUniqueName="[Kalendarz].[DzienTygodnia].[All]" dimensionUniqueName="[Kalendarz]" displayFolder="" count="0" memberValueDatatype="130" unbalanced="0"/>
    <cacheHierarchy uniqueName="[Kalendarz].[Rok-Miesiąc]" caption="Rok-Miesiąc" attribute="1" time="1" defaultMemberUniqueName="[Kalendarz].[Rok-Miesiąc].[All]" allUniqueName="[Kalendarz].[Rok-Miesiąc].[All]" dimensionUniqueName="[Kalendarz]" displayFolder="" count="0" memberValueDatatype="130" unbalanced="0"/>
    <cacheHierarchy uniqueName="[Koszty].[Konto]" caption="Konto" attribute="1" defaultMemberUniqueName="[Koszty].[Konto].[All]" allUniqueName="[Koszty].[Konto].[All]" dimensionUniqueName="[Koszty]" displayFolder="" count="0" memberValueDatatype="20" unbalanced="0"/>
    <cacheHierarchy uniqueName="[Koszty].[Data]" caption="Data" attribute="1" time="1" defaultMemberUniqueName="[Koszty].[Data].[All]" allUniqueName="[Koszty].[Data].[All]" dimensionUniqueName="[Koszty]" displayFolder="" count="0" memberValueDatatype="7" unbalanced="0"/>
    <cacheHierarchy uniqueName="[Koszty].[Koszt]" caption="Koszt" attribute="1" defaultMemberUniqueName="[Koszty].[Koszt].[All]" allUniqueName="[Koszty].[Koszt].[All]" dimensionUniqueName="[Koszty]" displayFolder="" count="0" memberValueDatatype="5" unbalanced="0"/>
    <cacheHierarchy uniqueName="[Plan kont].[Konto]" caption="Konto" attribute="1" defaultMemberUniqueName="[Plan kont].[Konto].[All]" allUniqueName="[Plan kont].[Konto].[All]" dimensionUniqueName="[Plan kont]" displayFolder="" count="0" memberValueDatatype="20" unbalanced="0"/>
    <cacheHierarchy uniqueName="[Plan kont].[Analityka]" caption="Analityka" attribute="1" defaultMemberUniqueName="[Plan kont].[Analityka].[All]" allUniqueName="[Plan kont].[Analityka].[All]" dimensionUniqueName="[Plan kont]" displayFolder="" count="0" memberValueDatatype="20" unbalanced="0"/>
    <cacheHierarchy uniqueName="[Plan kont].[MPK]" caption="MPK" attribute="1" defaultMemberUniqueName="[Plan kont].[MPK].[All]" allUniqueName="[Plan kont].[MPK].[All]" dimensionUniqueName="[Plan kont]" displayFolder="" count="2" memberValueDatatype="130" unbalanced="0">
      <fieldsUsage count="2">
        <fieldUsage x="-1"/>
        <fieldUsage x="3"/>
      </fieldsUsage>
    </cacheHierarchy>
    <cacheHierarchy uniqueName="[Plan kont].[Grupa kosztowa]" caption="Grupa kosztowa" attribute="1" defaultMemberUniqueName="[Plan kont].[Grupa kosztowa].[All]" allUniqueName="[Plan kont].[Grupa kosztowa].[All]" dimensionUniqueName="[Plan kont]" displayFolder="" count="2" memberValueDatatype="130" unbalanced="0"/>
    <cacheHierarchy uniqueName="[Plan kont].[Pozycja kosztowa]" caption="Pozycja kosztowa" attribute="1" defaultMemberUniqueName="[Plan kont].[Pozycja kosztowa].[All]" allUniqueName="[Plan kont].[Pozycja kosztowa].[All]" dimensionUniqueName="[Plan kont]" displayFolder="" count="0" memberValueDatatype="130" unbalanced="0"/>
    <cacheHierarchy uniqueName="[Plan kont].[Dysponent]" caption="Dysponent" attribute="1" defaultMemberUniqueName="[Plan kont].[Dysponent].[All]" allUniqueName="[Plan kont].[Dysponent].[All]" dimensionUniqueName="[Plan kont]" displayFolder="" count="2" memberValueDatatype="130" unbalanced="0"/>
    <cacheHierarchy uniqueName="[Measures].[Suma Analityka]" caption="Suma Analityka" measure="1" displayFolder="" measureGroup="Plan kont" count="0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a Konto]" caption="Suma Konto" measure="1" displayFolder="" measureGroup="Budżet" count="0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Liczba MPK]" caption="Liczba MPK" measure="1" displayFolder="" measureGroup="Plan kont" count="0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M01.Koszty]" caption="M01.Koszty" measure="1" displayFolder="" measureGroup="Koszty" count="0"/>
    <cacheHierarchy uniqueName="[Measures].[M02.Budżet]" caption="M02.Budżet" measure="1" displayFolder="" measureGroup="Budżet" count="0"/>
    <cacheHierarchy uniqueName="[Measures].[M03.Odchylenie]" caption="M03.Odchylenie" measure="1" displayFolder="" measureGroup="Budżet" count="0"/>
    <cacheHierarchy uniqueName="[Measures].[M04.Realizacja%]" caption="M04.Realizacja%" measure="1" displayFolder="" measureGroup="Budżet" count="0"/>
    <cacheHierarchy uniqueName="[Measures].[M05.Koszty 2026]" caption="M05.Koszty 2026" measure="1" displayFolder="" measureGroup="Koszty" count="0" oneField="1">
      <fieldsUsage count="1">
        <fieldUsage x="0"/>
      </fieldsUsage>
    </cacheHierarchy>
    <cacheHierarchy uniqueName="[Measures].[M06.Budżet 2026]" caption="M06.Budżet 2026" measure="1" displayFolder="" measureGroup="Budżet" count="0" oneField="1">
      <fieldsUsage count="1">
        <fieldUsage x="1"/>
      </fieldsUsage>
    </cacheHierarchy>
    <cacheHierarchy uniqueName="[Measures].[M07.Odchylenie 2026]" caption="M07.Odchylenie 2026" measure="1" displayFolder="" measureGroup="Budżet" count="0" oneField="1">
      <fieldsUsage count="1">
        <fieldUsage x="2"/>
      </fieldsUsage>
    </cacheHierarchy>
    <cacheHierarchy uniqueName="[Measures].[M08.Realizacja 2026]" caption="M08.Realizacja 2026" measure="1" displayFolder="" measureGroup="Budżet" count="0" oneField="1">
      <fieldsUsage count="1">
        <fieldUsage x="5"/>
      </fieldsUsage>
    </cacheHierarchy>
    <cacheHierarchy uniqueName="[Measures].[M09.Koszty 2025]" caption="M09.Koszty 2025" measure="1" displayFolder="" measureGroup="Koszty" count="0"/>
    <cacheHierarchy uniqueName="[Measures].[M10.Koszty YoY]" caption="M10.Koszty YoY" measure="1" displayFolder="" measureGroup="Koszty" count="0"/>
    <cacheHierarchy uniqueName="[Measures].[M11.Odchylenie2026%]" caption="M11.Odchylenie2026%" measure="1" displayFolder="" measureGroup="Budżet" count="0" oneField="1">
      <fieldsUsage count="1">
        <fieldUsage x="4"/>
      </fieldsUsage>
    </cacheHierarchy>
    <cacheHierarchy uniqueName="[Measures].[M12.Odchylenie%Koszty]" caption="M12.Odchylenie%Koszty" measure="1" displayFolder="" measureGroup="Koszty" count="0"/>
    <cacheHierarchy uniqueName="[Measures].[M13.Budżet YTD]" caption="M13.Budżet YTD" measure="1" displayFolder="" measureGroup="Budżet" count="0"/>
    <cacheHierarchy uniqueName="[Measures].[M14.Koszty YTD]" caption="M14.Koszty YTD" measure="1" displayFolder="" measureGroup="Koszty" count="0"/>
    <cacheHierarchy uniqueName="[Measures].[M15.Max Odchylenie MPK]" caption="M15.Max Odchylenie MPK" measure="1" displayFolder="" measureGroup="Budżet" count="0"/>
    <cacheHierarchy uniqueName="[Measures].[M16.Min Odchylenie MPK]" caption="M16.Min Odchylenie MPK" measure="1" displayFolder="" measureGroup="Budżet" count="0"/>
    <cacheHierarchy uniqueName="[Measures].[M17.Max Koszty Grupa]" caption="M17.Max Koszty Grupa" measure="1" displayFolder="" measureGroup="Budżet" count="0"/>
    <cacheHierarchy uniqueName="[Measures].[__XL_Count Budżet]" caption="__XL_Count Budżet" measure="1" displayFolder="" measureGroup="Budżet" count="0" hidden="1"/>
    <cacheHierarchy uniqueName="[Measures].[__XL_Count Koszty]" caption="__XL_Count Koszty" measure="1" displayFolder="" measureGroup="Koszty" count="0" hidden="1"/>
    <cacheHierarchy uniqueName="[Measures].[__XL_Count Plan kont]" caption="__XL_Count Plan kont" measure="1" displayFolder="" measureGroup="Plan kont" count="0" hidden="1"/>
    <cacheHierarchy uniqueName="[Measures].[__XL_Count Kalendarz]" caption="__XL_Count Kalendarz" measure="1" displayFolder="" measureGroup="Kalendarz" count="0" hidden="1"/>
    <cacheHierarchy uniqueName="[Measures].[__No measures defined]" caption="__No measures defined" measure="1" displayFolder="" count="0" hidden="1"/>
    <cacheHierarchy uniqueName="Unsupported0" caption="Konto" measure="1" count="0">
      <extLst>
        <ext xmlns:x14="http://schemas.microsoft.com/office/spreadsheetml/2009/9/main" uri="{8CF416AD-EC4C-4aba-99F5-12A058AE0983}">
          <x14:cacheHierarchy ignore="1"/>
        </ext>
      </extLst>
    </cacheHierarchy>
    <cacheHierarchy uniqueName="Unsupported1" caption="Konto" measure="1" count="0">
      <extLst>
        <ext xmlns:x14="http://schemas.microsoft.com/office/spreadsheetml/2009/9/main" uri="{8CF416AD-EC4C-4aba-99F5-12A058AE0983}">
          <x14:cacheHierarchy ignore="1"/>
        </ext>
      </extLst>
    </cacheHierarchy>
    <cacheHierarchy uniqueName="Unsupported2" caption="Konto" measure="1" count="0">
      <extLst>
        <ext xmlns:x14="http://schemas.microsoft.com/office/spreadsheetml/2009/9/main" uri="{8CF416AD-EC4C-4aba-99F5-12A058AE0983}">
          <x14:cacheHierarchy ignore="1"/>
        </ext>
      </extLst>
    </cacheHierarchy>
  </cacheHierarchies>
  <kpis count="0"/>
  <dimensions count="5">
    <dimension name="Budżet" uniqueName="[Budżet]" caption="Budżet"/>
    <dimension name="Kalendarz" uniqueName="[Kalendarz]" caption="Kalendarz"/>
    <dimension name="Koszty" uniqueName="[Koszty]" caption="Koszty"/>
    <dimension measure="1" name="Measures" uniqueName="[Measures]" caption="Measures"/>
    <dimension name="Plan kont" uniqueName="[Plan kont]" caption="Plan kont"/>
  </dimensions>
  <measureGroups count="4">
    <measureGroup name="Budżet" caption="Budżet"/>
    <measureGroup name="Kalendarz" caption="Kalendarz"/>
    <measureGroup name="Koszty" caption="Koszty"/>
    <measureGroup name="Plan kont" caption="Plan kont"/>
  </measureGroups>
  <maps count="8">
    <map measureGroup="0" dimension="0"/>
    <map measureGroup="0" dimension="1"/>
    <map measureGroup="0" dimension="4"/>
    <map measureGroup="1" dimension="1"/>
    <map measureGroup="2" dimension="1"/>
    <map measureGroup="2" dimension="2"/>
    <map measureGroup="2" dimension="4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Joanna Sulikowska" refreshedDate="46179.808849768517" backgroundQuery="1" createdVersion="8" refreshedVersion="8" minRefreshableVersion="3" recordCount="0" supportSubquery="1" supportAdvancedDrill="1" xr:uid="{3E8DD921-56A1-4E24-A1C8-26CE43356376}">
  <cacheSource type="external" connectionId="1"/>
  <cacheFields count="8">
    <cacheField name="[Measures].[M05.Koszty 2026]" caption="M05.Koszty 2026" numFmtId="0" hierarchy="27" level="32767"/>
    <cacheField name="[Plan kont].[MPK].[MPK]" caption="MPK" numFmtId="0" hierarchy="16" level="1">
      <sharedItems count="13">
        <s v="301 Zakład nr 1"/>
        <s v="302 Zakład nr 2"/>
        <s v="303 Zakład nr 3"/>
        <s v="305 Zakład nr 5"/>
        <s v="306 Zakład nr 6"/>
        <s v="308 Zakład nr 8"/>
        <s v="309 Zakład nr 9"/>
        <s v="411 Dział nieruchomości"/>
        <s v="412 Dział techniczny"/>
        <s v="513 Dział marketingu"/>
        <s v="517 Administracja"/>
        <s v="518 Dział inwestycyjny"/>
        <s v="521 Zarząd"/>
      </sharedItems>
    </cacheField>
    <cacheField name="[Measures].[M09.Koszty 2025]" caption="M09.Koszty 2025" numFmtId="0" hierarchy="31" level="32767"/>
    <cacheField name="[Measures].[M10.Koszty YoY]" caption="M10.Koszty YoY" numFmtId="0" hierarchy="32" level="32767"/>
    <cacheField name="[Measures].[M12.Odchylenie%Koszty]" caption="M12.Odchylenie%Koszty" numFmtId="0" hierarchy="34" level="32767"/>
    <cacheField name="Unsupported0" numFmtId="0" hierarchy="45" level="32767">
      <extLst>
        <ext xmlns:x14="http://schemas.microsoft.com/office/spreadsheetml/2009/9/main" uri="{63CAB8AC-B538-458d-9737-405883B0398D}">
          <x14:cacheField ignore="1"/>
        </ext>
      </extLst>
    </cacheField>
    <cacheField name="Unsupported1" numFmtId="0" hierarchy="46" level="32767">
      <extLst>
        <ext xmlns:x14="http://schemas.microsoft.com/office/spreadsheetml/2009/9/main" uri="{63CAB8AC-B538-458d-9737-405883B0398D}">
          <x14:cacheField ignore="1"/>
        </ext>
      </extLst>
    </cacheField>
    <cacheField name="Unsupported2" numFmtId="0" hierarchy="47" level="32767">
      <extLst>
        <ext xmlns:x14="http://schemas.microsoft.com/office/spreadsheetml/2009/9/main" uri="{63CAB8AC-B538-458d-9737-405883B0398D}">
          <x14:cacheField ignore="1"/>
        </ext>
      </extLst>
    </cacheField>
  </cacheFields>
  <cacheHierarchies count="48">
    <cacheHierarchy uniqueName="[Budżet].[Konto]" caption="Konto" attribute="1" defaultMemberUniqueName="[Budżet].[Konto].[All]" allUniqueName="[Budżet].[Konto].[All]" dimensionUniqueName="[Budżet]" displayFolder="" count="0" memberValueDatatype="20" unbalanced="0"/>
    <cacheHierarchy uniqueName="[Budżet].[Data]" caption="Data" attribute="1" time="1" defaultMemberUniqueName="[Budżet].[Data].[All]" allUniqueName="[Budżet].[Data].[All]" dimensionUniqueName="[Budżet]" displayFolder="" count="0" memberValueDatatype="7" unbalanced="0"/>
    <cacheHierarchy uniqueName="[Budżet].[Budżet]" caption="Budżet" attribute="1" defaultMemberUniqueName="[Budżet].[Budżet].[All]" allUniqueName="[Budżet].[Budżet].[All]" dimensionUniqueName="[Budżet]" displayFolder="" count="0" memberValueDatatype="5" unbalanced="0"/>
    <cacheHierarchy uniqueName="[Kalendarz].[Data]" caption="Data" attribute="1" time="1" keyAttribute="1" defaultMemberUniqueName="[Kalendarz].[Data].[All]" allUniqueName="[Kalendarz].[Data].[All]" dimensionUniqueName="[Kalendarz]" displayFolder="" count="2" memberValueDatatype="7" unbalanced="0"/>
    <cacheHierarchy uniqueName="[Kalendarz].[Rok]" caption="Rok" attribute="1" time="1" defaultMemberUniqueName="[Kalendarz].[Rok].[All]" allUniqueName="[Kalendarz].[Rok].[All]" dimensionUniqueName="[Kalendarz]" displayFolder="" count="0" memberValueDatatype="20" unbalanced="0"/>
    <cacheHierarchy uniqueName="[Kalendarz].[Hierarchia Rok Miesiąc]" caption="Hierarchia Rok Miesiąc" time="1" defaultMemberUniqueName="[Kalendarz].[Hierarchia Rok Miesiąc].[All]" allUniqueName="[Kalendarz].[Hierarchia Rok Miesiąc].[All]" dimensionUniqueName="[Kalendarz]" displayFolder="" count="0" unbalanced="0"/>
    <cacheHierarchy uniqueName="[Kalendarz].[MiesiacNr]" caption="MiesiacNr" attribute="1" time="1" defaultMemberUniqueName="[Kalendarz].[MiesiacNr].[All]" allUniqueName="[Kalendarz].[MiesiacNr].[All]" dimensionUniqueName="[Kalendarz]" displayFolder="" count="0" memberValueDatatype="20" unbalanced="0"/>
    <cacheHierarchy uniqueName="[Kalendarz].[Miesiac]" caption="Miesiac" attribute="1" time="1" defaultMemberUniqueName="[Kalendarz].[Miesiac].[All]" allUniqueName="[Kalendarz].[Miesiac].[All]" dimensionUniqueName="[Kalendarz]" displayFolder="" count="0" memberValueDatatype="130" unbalanced="0"/>
    <cacheHierarchy uniqueName="[Kalendarz].[Kwartał]" caption="Kwartał" attribute="1" time="1" defaultMemberUniqueName="[Kalendarz].[Kwartał].[All]" allUniqueName="[Kalendarz].[Kwartał].[All]" dimensionUniqueName="[Kalendarz]" displayFolder="" count="0" memberValueDatatype="130" unbalanced="0"/>
    <cacheHierarchy uniqueName="[Kalendarz].[DzienTygodnia]" caption="DzienTygodnia" attribute="1" time="1" defaultMemberUniqueName="[Kalendarz].[DzienTygodnia].[All]" allUniqueName="[Kalendarz].[DzienTygodnia].[All]" dimensionUniqueName="[Kalendarz]" displayFolder="" count="0" memberValueDatatype="130" unbalanced="0"/>
    <cacheHierarchy uniqueName="[Kalendarz].[Rok-Miesiąc]" caption="Rok-Miesiąc" attribute="1" time="1" defaultMemberUniqueName="[Kalendarz].[Rok-Miesiąc].[All]" allUniqueName="[Kalendarz].[Rok-Miesiąc].[All]" dimensionUniqueName="[Kalendarz]" displayFolder="" count="0" memberValueDatatype="130" unbalanced="0"/>
    <cacheHierarchy uniqueName="[Koszty].[Konto]" caption="Konto" attribute="1" defaultMemberUniqueName="[Koszty].[Konto].[All]" allUniqueName="[Koszty].[Konto].[All]" dimensionUniqueName="[Koszty]" displayFolder="" count="0" memberValueDatatype="20" unbalanced="0"/>
    <cacheHierarchy uniqueName="[Koszty].[Data]" caption="Data" attribute="1" time="1" defaultMemberUniqueName="[Koszty].[Data].[All]" allUniqueName="[Koszty].[Data].[All]" dimensionUniqueName="[Koszty]" displayFolder="" count="0" memberValueDatatype="7" unbalanced="0"/>
    <cacheHierarchy uniqueName="[Koszty].[Koszt]" caption="Koszt" attribute="1" defaultMemberUniqueName="[Koszty].[Koszt].[All]" allUniqueName="[Koszty].[Koszt].[All]" dimensionUniqueName="[Koszty]" displayFolder="" count="0" memberValueDatatype="5" unbalanced="0"/>
    <cacheHierarchy uniqueName="[Plan kont].[Konto]" caption="Konto" attribute="1" defaultMemberUniqueName="[Plan kont].[Konto].[All]" allUniqueName="[Plan kont].[Konto].[All]" dimensionUniqueName="[Plan kont]" displayFolder="" count="0" memberValueDatatype="20" unbalanced="0"/>
    <cacheHierarchy uniqueName="[Plan kont].[Analityka]" caption="Analityka" attribute="1" defaultMemberUniqueName="[Plan kont].[Analityka].[All]" allUniqueName="[Plan kont].[Analityka].[All]" dimensionUniqueName="[Plan kont]" displayFolder="" count="0" memberValueDatatype="20" unbalanced="0"/>
    <cacheHierarchy uniqueName="[Plan kont].[MPK]" caption="MPK" attribute="1" defaultMemberUniqueName="[Plan kont].[MPK].[All]" allUniqueName="[Plan kont].[MPK].[All]" dimensionUniqueName="[Plan kont]" displayFolder="" count="2" memberValueDatatype="130" unbalanced="0">
      <fieldsUsage count="2">
        <fieldUsage x="-1"/>
        <fieldUsage x="1"/>
      </fieldsUsage>
    </cacheHierarchy>
    <cacheHierarchy uniqueName="[Plan kont].[Grupa kosztowa]" caption="Grupa kosztowa" attribute="1" defaultMemberUniqueName="[Plan kont].[Grupa kosztowa].[All]" allUniqueName="[Plan kont].[Grupa kosztowa].[All]" dimensionUniqueName="[Plan kont]" displayFolder="" count="2" memberValueDatatype="130" unbalanced="0"/>
    <cacheHierarchy uniqueName="[Plan kont].[Pozycja kosztowa]" caption="Pozycja kosztowa" attribute="1" defaultMemberUniqueName="[Plan kont].[Pozycja kosztowa].[All]" allUniqueName="[Plan kont].[Pozycja kosztowa].[All]" dimensionUniqueName="[Plan kont]" displayFolder="" count="0" memberValueDatatype="130" unbalanced="0"/>
    <cacheHierarchy uniqueName="[Plan kont].[Dysponent]" caption="Dysponent" attribute="1" defaultMemberUniqueName="[Plan kont].[Dysponent].[All]" allUniqueName="[Plan kont].[Dysponent].[All]" dimensionUniqueName="[Plan kont]" displayFolder="" count="2" memberValueDatatype="130" unbalanced="0"/>
    <cacheHierarchy uniqueName="[Measures].[Suma Analityka]" caption="Suma Analityka" measure="1" displayFolder="" measureGroup="Plan kont" count="0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a Konto]" caption="Suma Konto" measure="1" displayFolder="" measureGroup="Budżet" count="0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Liczba MPK]" caption="Liczba MPK" measure="1" displayFolder="" measureGroup="Plan kont" count="0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M01.Koszty]" caption="M01.Koszty" measure="1" displayFolder="" measureGroup="Koszty" count="0"/>
    <cacheHierarchy uniqueName="[Measures].[M02.Budżet]" caption="M02.Budżet" measure="1" displayFolder="" measureGroup="Budżet" count="0"/>
    <cacheHierarchy uniqueName="[Measures].[M03.Odchylenie]" caption="M03.Odchylenie" measure="1" displayFolder="" measureGroup="Budżet" count="0"/>
    <cacheHierarchy uniqueName="[Measures].[M04.Realizacja%]" caption="M04.Realizacja%" measure="1" displayFolder="" measureGroup="Budżet" count="0"/>
    <cacheHierarchy uniqueName="[Measures].[M05.Koszty 2026]" caption="M05.Koszty 2026" measure="1" displayFolder="" measureGroup="Koszty" count="0" oneField="1">
      <fieldsUsage count="1">
        <fieldUsage x="0"/>
      </fieldsUsage>
    </cacheHierarchy>
    <cacheHierarchy uniqueName="[Measures].[M06.Budżet 2026]" caption="M06.Budżet 2026" measure="1" displayFolder="" measureGroup="Budżet" count="0"/>
    <cacheHierarchy uniqueName="[Measures].[M07.Odchylenie 2026]" caption="M07.Odchylenie 2026" measure="1" displayFolder="" measureGroup="Budżet" count="0"/>
    <cacheHierarchy uniqueName="[Measures].[M08.Realizacja 2026]" caption="M08.Realizacja 2026" measure="1" displayFolder="" measureGroup="Budżet" count="0"/>
    <cacheHierarchy uniqueName="[Measures].[M09.Koszty 2025]" caption="M09.Koszty 2025" measure="1" displayFolder="" measureGroup="Koszty" count="0" oneField="1">
      <fieldsUsage count="1">
        <fieldUsage x="2"/>
      </fieldsUsage>
    </cacheHierarchy>
    <cacheHierarchy uniqueName="[Measures].[M10.Koszty YoY]" caption="M10.Koszty YoY" measure="1" displayFolder="" measureGroup="Koszty" count="0" oneField="1">
      <fieldsUsage count="1">
        <fieldUsage x="3"/>
      </fieldsUsage>
    </cacheHierarchy>
    <cacheHierarchy uniqueName="[Measures].[M11.Odchylenie2026%]" caption="M11.Odchylenie2026%" measure="1" displayFolder="" measureGroup="Budżet" count="0"/>
    <cacheHierarchy uniqueName="[Measures].[M12.Odchylenie%Koszty]" caption="M12.Odchylenie%Koszty" measure="1" displayFolder="" measureGroup="Koszty" count="0" oneField="1">
      <fieldsUsage count="1">
        <fieldUsage x="4"/>
      </fieldsUsage>
    </cacheHierarchy>
    <cacheHierarchy uniqueName="[Measures].[M13.Budżet YTD]" caption="M13.Budżet YTD" measure="1" displayFolder="" measureGroup="Budżet" count="0"/>
    <cacheHierarchy uniqueName="[Measures].[M14.Koszty YTD]" caption="M14.Koszty YTD" measure="1" displayFolder="" measureGroup="Koszty" count="0"/>
    <cacheHierarchy uniqueName="[Measures].[M15.Max Odchylenie MPK]" caption="M15.Max Odchylenie MPK" measure="1" displayFolder="" measureGroup="Budżet" count="0"/>
    <cacheHierarchy uniqueName="[Measures].[M16.Min Odchylenie MPK]" caption="M16.Min Odchylenie MPK" measure="1" displayFolder="" measureGroup="Budżet" count="0"/>
    <cacheHierarchy uniqueName="[Measures].[M17.Max Koszty Grupa]" caption="M17.Max Koszty Grupa" measure="1" displayFolder="" measureGroup="Budżet" count="0"/>
    <cacheHierarchy uniqueName="[Measures].[__XL_Count Budżet]" caption="__XL_Count Budżet" measure="1" displayFolder="" measureGroup="Budżet" count="0" hidden="1"/>
    <cacheHierarchy uniqueName="[Measures].[__XL_Count Koszty]" caption="__XL_Count Koszty" measure="1" displayFolder="" measureGroup="Koszty" count="0" hidden="1"/>
    <cacheHierarchy uniqueName="[Measures].[__XL_Count Plan kont]" caption="__XL_Count Plan kont" measure="1" displayFolder="" measureGroup="Plan kont" count="0" hidden="1"/>
    <cacheHierarchy uniqueName="[Measures].[__XL_Count Kalendarz]" caption="__XL_Count Kalendarz" measure="1" displayFolder="" measureGroup="Kalendarz" count="0" hidden="1"/>
    <cacheHierarchy uniqueName="[Measures].[__No measures defined]" caption="__No measures defined" measure="1" displayFolder="" count="0" hidden="1"/>
    <cacheHierarchy uniqueName="Unsupported0" caption="Konto" measure="1" count="0">
      <extLst>
        <ext xmlns:x14="http://schemas.microsoft.com/office/spreadsheetml/2009/9/main" uri="{8CF416AD-EC4C-4aba-99F5-12A058AE0983}">
          <x14:cacheHierarchy ignore="1"/>
        </ext>
      </extLst>
    </cacheHierarchy>
    <cacheHierarchy uniqueName="Unsupported1" caption="Konto" measure="1" count="0">
      <extLst>
        <ext xmlns:x14="http://schemas.microsoft.com/office/spreadsheetml/2009/9/main" uri="{8CF416AD-EC4C-4aba-99F5-12A058AE0983}">
          <x14:cacheHierarchy ignore="1"/>
        </ext>
      </extLst>
    </cacheHierarchy>
    <cacheHierarchy uniqueName="Unsupported2" caption="Konto" measure="1" count="0">
      <extLst>
        <ext xmlns:x14="http://schemas.microsoft.com/office/spreadsheetml/2009/9/main" uri="{8CF416AD-EC4C-4aba-99F5-12A058AE0983}">
          <x14:cacheHierarchy ignore="1"/>
        </ext>
      </extLst>
    </cacheHierarchy>
  </cacheHierarchies>
  <kpis count="0"/>
  <dimensions count="5">
    <dimension name="Budżet" uniqueName="[Budżet]" caption="Budżet"/>
    <dimension name="Kalendarz" uniqueName="[Kalendarz]" caption="Kalendarz"/>
    <dimension name="Koszty" uniqueName="[Koszty]" caption="Koszty"/>
    <dimension measure="1" name="Measures" uniqueName="[Measures]" caption="Measures"/>
    <dimension name="Plan kont" uniqueName="[Plan kont]" caption="Plan kont"/>
  </dimensions>
  <measureGroups count="4">
    <measureGroup name="Budżet" caption="Budżet"/>
    <measureGroup name="Kalendarz" caption="Kalendarz"/>
    <measureGroup name="Koszty" caption="Koszty"/>
    <measureGroup name="Plan kont" caption="Plan kont"/>
  </measureGroups>
  <maps count="8">
    <map measureGroup="0" dimension="0"/>
    <map measureGroup="0" dimension="1"/>
    <map measureGroup="0" dimension="4"/>
    <map measureGroup="1" dimension="1"/>
    <map measureGroup="2" dimension="1"/>
    <map measureGroup="2" dimension="2"/>
    <map measureGroup="2" dimension="4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Joanna Sulikowska" refreshedDate="46179.808850347225" backgroundQuery="1" createdVersion="8" refreshedVersion="8" minRefreshableVersion="3" recordCount="0" supportSubquery="1" supportAdvancedDrill="1" xr:uid="{854A6407-8683-499E-B07D-6D1BF8934044}">
  <cacheSource type="external" connectionId="1"/>
  <cacheFields count="3">
    <cacheField name="[Kalendarz].[Rok-Miesiąc].[Rok-Miesiąc]" caption="Rok-Miesiąc" numFmtId="0" hierarchy="10" level="1">
      <sharedItems count="12">
        <s v="2026-01"/>
        <s v="2026-02"/>
        <s v="2026-03"/>
        <s v="2026-04"/>
        <s v="2026-05"/>
        <s v="2026-06"/>
        <s v="2026-07"/>
        <s v="2026-08"/>
        <s v="2026-09"/>
        <s v="2026-10"/>
        <s v="2026-11"/>
        <s v="2026-12"/>
      </sharedItems>
    </cacheField>
    <cacheField name="[Measures].[M13.Budżet YTD]" caption="M13.Budżet YTD" numFmtId="0" hierarchy="35" level="32767"/>
    <cacheField name="[Measures].[M14.Koszty YTD]" caption="M14.Koszty YTD" numFmtId="0" hierarchy="36" level="32767"/>
  </cacheFields>
  <cacheHierarchies count="45">
    <cacheHierarchy uniqueName="[Budżet].[Konto]" caption="Konto" attribute="1" defaultMemberUniqueName="[Budżet].[Konto].[All]" allUniqueName="[Budżet].[Konto].[All]" dimensionUniqueName="[Budżet]" displayFolder="" count="0" memberValueDatatype="20" unbalanced="0"/>
    <cacheHierarchy uniqueName="[Budżet].[Data]" caption="Data" attribute="1" time="1" defaultMemberUniqueName="[Budżet].[Data].[All]" allUniqueName="[Budżet].[Data].[All]" dimensionUniqueName="[Budżet]" displayFolder="" count="0" memberValueDatatype="7" unbalanced="0"/>
    <cacheHierarchy uniqueName="[Budżet].[Budżet]" caption="Budżet" attribute="1" defaultMemberUniqueName="[Budżet].[Budżet].[All]" allUniqueName="[Budżet].[Budżet].[All]" dimensionUniqueName="[Budżet]" displayFolder="" count="0" memberValueDatatype="5" unbalanced="0"/>
    <cacheHierarchy uniqueName="[Kalendarz].[Data]" caption="Data" attribute="1" time="1" keyAttribute="1" defaultMemberUniqueName="[Kalendarz].[Data].[All]" allUniqueName="[Kalendarz].[Data].[All]" dimensionUniqueName="[Kalendarz]" displayFolder="" count="0" memberValueDatatype="7" unbalanced="0"/>
    <cacheHierarchy uniqueName="[Kalendarz].[Rok]" caption="Rok" attribute="1" time="1" defaultMemberUniqueName="[Kalendarz].[Rok].[All]" allUniqueName="[Kalendarz].[Rok].[All]" dimensionUniqueName="[Kalendarz]" displayFolder="" count="0" memberValueDatatype="20" unbalanced="0"/>
    <cacheHierarchy uniqueName="[Kalendarz].[Hierarchia Rok Miesiąc]" caption="Hierarchia Rok Miesiąc" time="1" defaultMemberUniqueName="[Kalendarz].[Hierarchia Rok Miesiąc].[All]" allUniqueName="[Kalendarz].[Hierarchia Rok Miesiąc].[All]" dimensionUniqueName="[Kalendarz]" displayFolder="" count="0" unbalanced="0"/>
    <cacheHierarchy uniqueName="[Kalendarz].[MiesiacNr]" caption="MiesiacNr" attribute="1" time="1" defaultMemberUniqueName="[Kalendarz].[MiesiacNr].[All]" allUniqueName="[Kalendarz].[MiesiacNr].[All]" dimensionUniqueName="[Kalendarz]" displayFolder="" count="0" memberValueDatatype="20" unbalanced="0"/>
    <cacheHierarchy uniqueName="[Kalendarz].[Miesiac]" caption="Miesiac" attribute="1" time="1" defaultMemberUniqueName="[Kalendarz].[Miesiac].[All]" allUniqueName="[Kalendarz].[Miesiac].[All]" dimensionUniqueName="[Kalendarz]" displayFolder="" count="0" memberValueDatatype="130" unbalanced="0"/>
    <cacheHierarchy uniqueName="[Kalendarz].[Kwartał]" caption="Kwartał" attribute="1" time="1" defaultMemberUniqueName="[Kalendarz].[Kwartał].[All]" allUniqueName="[Kalendarz].[Kwartał].[All]" dimensionUniqueName="[Kalendarz]" displayFolder="" count="0" memberValueDatatype="130" unbalanced="0"/>
    <cacheHierarchy uniqueName="[Kalendarz].[DzienTygodnia]" caption="DzienTygodnia" attribute="1" time="1" defaultMemberUniqueName="[Kalendarz].[DzienTygodnia].[All]" allUniqueName="[Kalendarz].[DzienTygodnia].[All]" dimensionUniqueName="[Kalendarz]" displayFolder="" count="0" memberValueDatatype="130" unbalanced="0"/>
    <cacheHierarchy uniqueName="[Kalendarz].[Rok-Miesiąc]" caption="Rok-Miesiąc" attribute="1" time="1" defaultMemberUniqueName="[Kalendarz].[Rok-Miesiąc].[All]" allUniqueName="[Kalendarz].[Rok-Miesiąc].[All]" dimensionUniqueName="[Kalendarz]" displayFolder="" count="2" memberValueDatatype="130" unbalanced="0">
      <fieldsUsage count="2">
        <fieldUsage x="-1"/>
        <fieldUsage x="0"/>
      </fieldsUsage>
    </cacheHierarchy>
    <cacheHierarchy uniqueName="[Koszty].[Konto]" caption="Konto" attribute="1" defaultMemberUniqueName="[Koszty].[Konto].[All]" allUniqueName="[Koszty].[Konto].[All]" dimensionUniqueName="[Koszty]" displayFolder="" count="0" memberValueDatatype="20" unbalanced="0"/>
    <cacheHierarchy uniqueName="[Koszty].[Data]" caption="Data" attribute="1" time="1" defaultMemberUniqueName="[Koszty].[Data].[All]" allUniqueName="[Koszty].[Data].[All]" dimensionUniqueName="[Koszty]" displayFolder="" count="0" memberValueDatatype="7" unbalanced="0"/>
    <cacheHierarchy uniqueName="[Koszty].[Koszt]" caption="Koszt" attribute="1" defaultMemberUniqueName="[Koszty].[Koszt].[All]" allUniqueName="[Koszty].[Koszt].[All]" dimensionUniqueName="[Koszty]" displayFolder="" count="0" memberValueDatatype="5" unbalanced="0"/>
    <cacheHierarchy uniqueName="[Plan kont].[Konto]" caption="Konto" attribute="1" defaultMemberUniqueName="[Plan kont].[Konto].[All]" allUniqueName="[Plan kont].[Konto].[All]" dimensionUniqueName="[Plan kont]" displayFolder="" count="0" memberValueDatatype="20" unbalanced="0"/>
    <cacheHierarchy uniqueName="[Plan kont].[Analityka]" caption="Analityka" attribute="1" defaultMemberUniqueName="[Plan kont].[Analityka].[All]" allUniqueName="[Plan kont].[Analityka].[All]" dimensionUniqueName="[Plan kont]" displayFolder="" count="0" memberValueDatatype="20" unbalanced="0"/>
    <cacheHierarchy uniqueName="[Plan kont].[MPK]" caption="MPK" attribute="1" defaultMemberUniqueName="[Plan kont].[MPK].[All]" allUniqueName="[Plan kont].[MPK].[All]" dimensionUniqueName="[Plan kont]" displayFolder="" count="2" memberValueDatatype="130" unbalanced="0"/>
    <cacheHierarchy uniqueName="[Plan kont].[Grupa kosztowa]" caption="Grupa kosztowa" attribute="1" defaultMemberUniqueName="[Plan kont].[Grupa kosztowa].[All]" allUniqueName="[Plan kont].[Grupa kosztowa].[All]" dimensionUniqueName="[Plan kont]" displayFolder="" count="2" memberValueDatatype="130" unbalanced="0"/>
    <cacheHierarchy uniqueName="[Plan kont].[Pozycja kosztowa]" caption="Pozycja kosztowa" attribute="1" defaultMemberUniqueName="[Plan kont].[Pozycja kosztowa].[All]" allUniqueName="[Plan kont].[Pozycja kosztowa].[All]" dimensionUniqueName="[Plan kont]" displayFolder="" count="0" memberValueDatatype="130" unbalanced="0"/>
    <cacheHierarchy uniqueName="[Plan kont].[Dysponent]" caption="Dysponent" attribute="1" defaultMemberUniqueName="[Plan kont].[Dysponent].[All]" allUniqueName="[Plan kont].[Dysponent].[All]" dimensionUniqueName="[Plan kont]" displayFolder="" count="2" memberValueDatatype="130" unbalanced="0"/>
    <cacheHierarchy uniqueName="[Measures].[Suma Analityka]" caption="Suma Analityka" measure="1" displayFolder="" measureGroup="Plan kont" count="0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a Konto]" caption="Suma Konto" measure="1" displayFolder="" measureGroup="Budżet" count="0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Liczba MPK]" caption="Liczba MPK" measure="1" displayFolder="" measureGroup="Plan kont" count="0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M01.Koszty]" caption="M01.Koszty" measure="1" displayFolder="" measureGroup="Koszty" count="0"/>
    <cacheHierarchy uniqueName="[Measures].[M02.Budżet]" caption="M02.Budżet" measure="1" displayFolder="" measureGroup="Budżet" count="0"/>
    <cacheHierarchy uniqueName="[Measures].[M03.Odchylenie]" caption="M03.Odchylenie" measure="1" displayFolder="" measureGroup="Budżet" count="0"/>
    <cacheHierarchy uniqueName="[Measures].[M04.Realizacja%]" caption="M04.Realizacja%" measure="1" displayFolder="" measureGroup="Budżet" count="0"/>
    <cacheHierarchy uniqueName="[Measures].[M05.Koszty 2026]" caption="M05.Koszty 2026" measure="1" displayFolder="" measureGroup="Koszty" count="0"/>
    <cacheHierarchy uniqueName="[Measures].[M06.Budżet 2026]" caption="M06.Budżet 2026" measure="1" displayFolder="" measureGroup="Budżet" count="0"/>
    <cacheHierarchy uniqueName="[Measures].[M07.Odchylenie 2026]" caption="M07.Odchylenie 2026" measure="1" displayFolder="" measureGroup="Budżet" count="0"/>
    <cacheHierarchy uniqueName="[Measures].[M08.Realizacja 2026]" caption="M08.Realizacja 2026" measure="1" displayFolder="" measureGroup="Budżet" count="0"/>
    <cacheHierarchy uniqueName="[Measures].[M09.Koszty 2025]" caption="M09.Koszty 2025" measure="1" displayFolder="" measureGroup="Koszty" count="0"/>
    <cacheHierarchy uniqueName="[Measures].[M10.Koszty YoY]" caption="M10.Koszty YoY" measure="1" displayFolder="" measureGroup="Koszty" count="0"/>
    <cacheHierarchy uniqueName="[Measures].[M11.Odchylenie2026%]" caption="M11.Odchylenie2026%" measure="1" displayFolder="" measureGroup="Budżet" count="0"/>
    <cacheHierarchy uniqueName="[Measures].[M12.Odchylenie%Koszty]" caption="M12.Odchylenie%Koszty" measure="1" displayFolder="" measureGroup="Koszty" count="0"/>
    <cacheHierarchy uniqueName="[Measures].[M13.Budżet YTD]" caption="M13.Budżet YTD" measure="1" displayFolder="" measureGroup="Budżet" count="0" oneField="1">
      <fieldsUsage count="1">
        <fieldUsage x="1"/>
      </fieldsUsage>
    </cacheHierarchy>
    <cacheHierarchy uniqueName="[Measures].[M14.Koszty YTD]" caption="M14.Koszty YTD" measure="1" displayFolder="" measureGroup="Koszty" count="0" oneField="1">
      <fieldsUsage count="1">
        <fieldUsage x="2"/>
      </fieldsUsage>
    </cacheHierarchy>
    <cacheHierarchy uniqueName="[Measures].[M15.Max Odchylenie MPK]" caption="M15.Max Odchylenie MPK" measure="1" displayFolder="" measureGroup="Budżet" count="0"/>
    <cacheHierarchy uniqueName="[Measures].[M16.Min Odchylenie MPK]" caption="M16.Min Odchylenie MPK" measure="1" displayFolder="" measureGroup="Budżet" count="0"/>
    <cacheHierarchy uniqueName="[Measures].[M17.Max Koszty Grupa]" caption="M17.Max Koszty Grupa" measure="1" displayFolder="" measureGroup="Budżet" count="0"/>
    <cacheHierarchy uniqueName="[Measures].[__XL_Count Budżet]" caption="__XL_Count Budżet" measure="1" displayFolder="" measureGroup="Budżet" count="0" hidden="1"/>
    <cacheHierarchy uniqueName="[Measures].[__XL_Count Koszty]" caption="__XL_Count Koszty" measure="1" displayFolder="" measureGroup="Koszty" count="0" hidden="1"/>
    <cacheHierarchy uniqueName="[Measures].[__XL_Count Plan kont]" caption="__XL_Count Plan kont" measure="1" displayFolder="" measureGroup="Plan kont" count="0" hidden="1"/>
    <cacheHierarchy uniqueName="[Measures].[__XL_Count Kalendarz]" caption="__XL_Count Kalendarz" measure="1" displayFolder="" measureGroup="Kalendarz" count="0" hidden="1"/>
    <cacheHierarchy uniqueName="[Measures].[__No measures defined]" caption="__No measures defined" measure="1" displayFolder="" count="0" hidden="1"/>
  </cacheHierarchies>
  <kpis count="0"/>
  <dimensions count="5">
    <dimension name="Budżet" uniqueName="[Budżet]" caption="Budżet"/>
    <dimension name="Kalendarz" uniqueName="[Kalendarz]" caption="Kalendarz"/>
    <dimension name="Koszty" uniqueName="[Koszty]" caption="Koszty"/>
    <dimension measure="1" name="Measures" uniqueName="[Measures]" caption="Measures"/>
    <dimension name="Plan kont" uniqueName="[Plan kont]" caption="Plan kont"/>
  </dimensions>
  <measureGroups count="4">
    <measureGroup name="Budżet" caption="Budżet"/>
    <measureGroup name="Kalendarz" caption="Kalendarz"/>
    <measureGroup name="Koszty" caption="Koszty"/>
    <measureGroup name="Plan kont" caption="Plan kont"/>
  </measureGroups>
  <maps count="8">
    <map measureGroup="0" dimension="0"/>
    <map measureGroup="0" dimension="1"/>
    <map measureGroup="0" dimension="4"/>
    <map measureGroup="1" dimension="1"/>
    <map measureGroup="2" dimension="1"/>
    <map measureGroup="2" dimension="2"/>
    <map measureGroup="2" dimension="4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Joanna Sulikowska" refreshedDate="46179.808850925925" backgroundQuery="1" createdVersion="8" refreshedVersion="8" minRefreshableVersion="3" recordCount="0" supportSubquery="1" supportAdvancedDrill="1" xr:uid="{0B640961-A006-419E-9604-D05ACEFB5CC2}">
  <cacheSource type="external" connectionId="1"/>
  <cacheFields count="4">
    <cacheField name="[Measures].[M05.Koszty 2026]" caption="M05.Koszty 2026" numFmtId="0" hierarchy="27" level="32767"/>
    <cacheField name="[Measures].[M06.Budżet 2026]" caption="M06.Budżet 2026" numFmtId="0" hierarchy="28" level="32767"/>
    <cacheField name="[Measures].[M07.Odchylenie 2026]" caption="M07.Odchylenie 2026" numFmtId="0" hierarchy="29" level="32767"/>
    <cacheField name="[Measures].[M08.Realizacja 2026]" caption="M08.Realizacja 2026" numFmtId="0" hierarchy="30" level="32767"/>
  </cacheFields>
  <cacheHierarchies count="45">
    <cacheHierarchy uniqueName="[Budżet].[Konto]" caption="Konto" attribute="1" defaultMemberUniqueName="[Budżet].[Konto].[All]" allUniqueName="[Budżet].[Konto].[All]" dimensionUniqueName="[Budżet]" displayFolder="" count="0" memberValueDatatype="20" unbalanced="0"/>
    <cacheHierarchy uniqueName="[Budżet].[Data]" caption="Data" attribute="1" time="1" defaultMemberUniqueName="[Budżet].[Data].[All]" allUniqueName="[Budżet].[Data].[All]" dimensionUniqueName="[Budżet]" displayFolder="" count="0" memberValueDatatype="7" unbalanced="0"/>
    <cacheHierarchy uniqueName="[Budżet].[Budżet]" caption="Budżet" attribute="1" defaultMemberUniqueName="[Budżet].[Budżet].[All]" allUniqueName="[Budżet].[Budżet].[All]" dimensionUniqueName="[Budżet]" displayFolder="" count="0" memberValueDatatype="5" unbalanced="0"/>
    <cacheHierarchy uniqueName="[Kalendarz].[Data]" caption="Data" attribute="1" time="1" keyAttribute="1" defaultMemberUniqueName="[Kalendarz].[Data].[All]" allUniqueName="[Kalendarz].[Data].[All]" dimensionUniqueName="[Kalendarz]" displayFolder="" count="2" memberValueDatatype="7" unbalanced="0"/>
    <cacheHierarchy uniqueName="[Kalendarz].[Rok]" caption="Rok" attribute="1" time="1" defaultMemberUniqueName="[Kalendarz].[Rok].[All]" allUniqueName="[Kalendarz].[Rok].[All]" dimensionUniqueName="[Kalendarz]" displayFolder="" count="0" memberValueDatatype="20" unbalanced="0"/>
    <cacheHierarchy uniqueName="[Kalendarz].[Hierarchia Rok Miesiąc]" caption="Hierarchia Rok Miesiąc" time="1" defaultMemberUniqueName="[Kalendarz].[Hierarchia Rok Miesiąc].[All]" allUniqueName="[Kalendarz].[Hierarchia Rok Miesiąc].[All]" dimensionUniqueName="[Kalendarz]" displayFolder="" count="0" unbalanced="0"/>
    <cacheHierarchy uniqueName="[Kalendarz].[MiesiacNr]" caption="MiesiacNr" attribute="1" time="1" defaultMemberUniqueName="[Kalendarz].[MiesiacNr].[All]" allUniqueName="[Kalendarz].[MiesiacNr].[All]" dimensionUniqueName="[Kalendarz]" displayFolder="" count="0" memberValueDatatype="20" unbalanced="0"/>
    <cacheHierarchy uniqueName="[Kalendarz].[Miesiac]" caption="Miesiac" attribute="1" time="1" defaultMemberUniqueName="[Kalendarz].[Miesiac].[All]" allUniqueName="[Kalendarz].[Miesiac].[All]" dimensionUniqueName="[Kalendarz]" displayFolder="" count="0" memberValueDatatype="130" unbalanced="0"/>
    <cacheHierarchy uniqueName="[Kalendarz].[Kwartał]" caption="Kwartał" attribute="1" time="1" defaultMemberUniqueName="[Kalendarz].[Kwartał].[All]" allUniqueName="[Kalendarz].[Kwartał].[All]" dimensionUniqueName="[Kalendarz]" displayFolder="" count="0" memberValueDatatype="130" unbalanced="0"/>
    <cacheHierarchy uniqueName="[Kalendarz].[DzienTygodnia]" caption="DzienTygodnia" attribute="1" time="1" defaultMemberUniqueName="[Kalendarz].[DzienTygodnia].[All]" allUniqueName="[Kalendarz].[DzienTygodnia].[All]" dimensionUniqueName="[Kalendarz]" displayFolder="" count="0" memberValueDatatype="130" unbalanced="0"/>
    <cacheHierarchy uniqueName="[Kalendarz].[Rok-Miesiąc]" caption="Rok-Miesiąc" attribute="1" time="1" defaultMemberUniqueName="[Kalendarz].[Rok-Miesiąc].[All]" allUniqueName="[Kalendarz].[Rok-Miesiąc].[All]" dimensionUniqueName="[Kalendarz]" displayFolder="" count="0" memberValueDatatype="130" unbalanced="0"/>
    <cacheHierarchy uniqueName="[Koszty].[Konto]" caption="Konto" attribute="1" defaultMemberUniqueName="[Koszty].[Konto].[All]" allUniqueName="[Koszty].[Konto].[All]" dimensionUniqueName="[Koszty]" displayFolder="" count="0" memberValueDatatype="20" unbalanced="0"/>
    <cacheHierarchy uniqueName="[Koszty].[Data]" caption="Data" attribute="1" time="1" defaultMemberUniqueName="[Koszty].[Data].[All]" allUniqueName="[Koszty].[Data].[All]" dimensionUniqueName="[Koszty]" displayFolder="" count="0" memberValueDatatype="7" unbalanced="0"/>
    <cacheHierarchy uniqueName="[Koszty].[Koszt]" caption="Koszt" attribute="1" defaultMemberUniqueName="[Koszty].[Koszt].[All]" allUniqueName="[Koszty].[Koszt].[All]" dimensionUniqueName="[Koszty]" displayFolder="" count="0" memberValueDatatype="5" unbalanced="0"/>
    <cacheHierarchy uniqueName="[Plan kont].[Konto]" caption="Konto" attribute="1" defaultMemberUniqueName="[Plan kont].[Konto].[All]" allUniqueName="[Plan kont].[Konto].[All]" dimensionUniqueName="[Plan kont]" displayFolder="" count="0" memberValueDatatype="20" unbalanced="0"/>
    <cacheHierarchy uniqueName="[Plan kont].[Analityka]" caption="Analityka" attribute="1" defaultMemberUniqueName="[Plan kont].[Analityka].[All]" allUniqueName="[Plan kont].[Analityka].[All]" dimensionUniqueName="[Plan kont]" displayFolder="" count="0" memberValueDatatype="20" unbalanced="0"/>
    <cacheHierarchy uniqueName="[Plan kont].[MPK]" caption="MPK" attribute="1" defaultMemberUniqueName="[Plan kont].[MPK].[All]" allUniqueName="[Plan kont].[MPK].[All]" dimensionUniqueName="[Plan kont]" displayFolder="" count="2" memberValueDatatype="130" unbalanced="0"/>
    <cacheHierarchy uniqueName="[Plan kont].[Grupa kosztowa]" caption="Grupa kosztowa" attribute="1" defaultMemberUniqueName="[Plan kont].[Grupa kosztowa].[All]" allUniqueName="[Plan kont].[Grupa kosztowa].[All]" dimensionUniqueName="[Plan kont]" displayFolder="" count="2" memberValueDatatype="130" unbalanced="0"/>
    <cacheHierarchy uniqueName="[Plan kont].[Pozycja kosztowa]" caption="Pozycja kosztowa" attribute="1" defaultMemberUniqueName="[Plan kont].[Pozycja kosztowa].[All]" allUniqueName="[Plan kont].[Pozycja kosztowa].[All]" dimensionUniqueName="[Plan kont]" displayFolder="" count="0" memberValueDatatype="130" unbalanced="0"/>
    <cacheHierarchy uniqueName="[Plan kont].[Dysponent]" caption="Dysponent" attribute="1" defaultMemberUniqueName="[Plan kont].[Dysponent].[All]" allUniqueName="[Plan kont].[Dysponent].[All]" dimensionUniqueName="[Plan kont]" displayFolder="" count="2" memberValueDatatype="130" unbalanced="0"/>
    <cacheHierarchy uniqueName="[Measures].[Suma Analityka]" caption="Suma Analityka" measure="1" displayFolder="" measureGroup="Plan kont" count="0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a Konto]" caption="Suma Konto" measure="1" displayFolder="" measureGroup="Budżet" count="0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Liczba MPK]" caption="Liczba MPK" measure="1" displayFolder="" measureGroup="Plan kont" count="0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M01.Koszty]" caption="M01.Koszty" measure="1" displayFolder="" measureGroup="Koszty" count="0"/>
    <cacheHierarchy uniqueName="[Measures].[M02.Budżet]" caption="M02.Budżet" measure="1" displayFolder="" measureGroup="Budżet" count="0"/>
    <cacheHierarchy uniqueName="[Measures].[M03.Odchylenie]" caption="M03.Odchylenie" measure="1" displayFolder="" measureGroup="Budżet" count="0"/>
    <cacheHierarchy uniqueName="[Measures].[M04.Realizacja%]" caption="M04.Realizacja%" measure="1" displayFolder="" measureGroup="Budżet" count="0"/>
    <cacheHierarchy uniqueName="[Measures].[M05.Koszty 2026]" caption="M05.Koszty 2026" measure="1" displayFolder="" measureGroup="Koszty" count="0" oneField="1">
      <fieldsUsage count="1">
        <fieldUsage x="0"/>
      </fieldsUsage>
    </cacheHierarchy>
    <cacheHierarchy uniqueName="[Measures].[M06.Budżet 2026]" caption="M06.Budżet 2026" measure="1" displayFolder="" measureGroup="Budżet" count="0" oneField="1">
      <fieldsUsage count="1">
        <fieldUsage x="1"/>
      </fieldsUsage>
    </cacheHierarchy>
    <cacheHierarchy uniqueName="[Measures].[M07.Odchylenie 2026]" caption="M07.Odchylenie 2026" measure="1" displayFolder="" measureGroup="Budżet" count="0" oneField="1">
      <fieldsUsage count="1">
        <fieldUsage x="2"/>
      </fieldsUsage>
    </cacheHierarchy>
    <cacheHierarchy uniqueName="[Measures].[M08.Realizacja 2026]" caption="M08.Realizacja 2026" measure="1" displayFolder="" measureGroup="Budżet" count="0" oneField="1">
      <fieldsUsage count="1">
        <fieldUsage x="3"/>
      </fieldsUsage>
    </cacheHierarchy>
    <cacheHierarchy uniqueName="[Measures].[M09.Koszty 2025]" caption="M09.Koszty 2025" measure="1" displayFolder="" measureGroup="Koszty" count="0"/>
    <cacheHierarchy uniqueName="[Measures].[M10.Koszty YoY]" caption="M10.Koszty YoY" measure="1" displayFolder="" measureGroup="Koszty" count="0"/>
    <cacheHierarchy uniqueName="[Measures].[M11.Odchylenie2026%]" caption="M11.Odchylenie2026%" measure="1" displayFolder="" measureGroup="Budżet" count="0"/>
    <cacheHierarchy uniqueName="[Measures].[M12.Odchylenie%Koszty]" caption="M12.Odchylenie%Koszty" measure="1" displayFolder="" measureGroup="Koszty" count="0"/>
    <cacheHierarchy uniqueName="[Measures].[M13.Budżet YTD]" caption="M13.Budżet YTD" measure="1" displayFolder="" measureGroup="Budżet" count="0"/>
    <cacheHierarchy uniqueName="[Measures].[M14.Koszty YTD]" caption="M14.Koszty YTD" measure="1" displayFolder="" measureGroup="Koszty" count="0"/>
    <cacheHierarchy uniqueName="[Measures].[M15.Max Odchylenie MPK]" caption="M15.Max Odchylenie MPK" measure="1" displayFolder="" measureGroup="Budżet" count="0"/>
    <cacheHierarchy uniqueName="[Measures].[M16.Min Odchylenie MPK]" caption="M16.Min Odchylenie MPK" measure="1" displayFolder="" measureGroup="Budżet" count="0"/>
    <cacheHierarchy uniqueName="[Measures].[M17.Max Koszty Grupa]" caption="M17.Max Koszty Grupa" measure="1" displayFolder="" measureGroup="Budżet" count="0"/>
    <cacheHierarchy uniqueName="[Measures].[__XL_Count Budżet]" caption="__XL_Count Budżet" measure="1" displayFolder="" measureGroup="Budżet" count="0" hidden="1"/>
    <cacheHierarchy uniqueName="[Measures].[__XL_Count Koszty]" caption="__XL_Count Koszty" measure="1" displayFolder="" measureGroup="Koszty" count="0" hidden="1"/>
    <cacheHierarchy uniqueName="[Measures].[__XL_Count Plan kont]" caption="__XL_Count Plan kont" measure="1" displayFolder="" measureGroup="Plan kont" count="0" hidden="1"/>
    <cacheHierarchy uniqueName="[Measures].[__XL_Count Kalendarz]" caption="__XL_Count Kalendarz" measure="1" displayFolder="" measureGroup="Kalendarz" count="0" hidden="1"/>
    <cacheHierarchy uniqueName="[Measures].[__No measures defined]" caption="__No measures defined" measure="1" displayFolder="" count="0" hidden="1"/>
  </cacheHierarchies>
  <kpis count="0"/>
  <dimensions count="5">
    <dimension name="Budżet" uniqueName="[Budżet]" caption="Budżet"/>
    <dimension name="Kalendarz" uniqueName="[Kalendarz]" caption="Kalendarz"/>
    <dimension name="Koszty" uniqueName="[Koszty]" caption="Koszty"/>
    <dimension measure="1" name="Measures" uniqueName="[Measures]" caption="Measures"/>
    <dimension name="Plan kont" uniqueName="[Plan kont]" caption="Plan kont"/>
  </dimensions>
  <measureGroups count="4">
    <measureGroup name="Budżet" caption="Budżet"/>
    <measureGroup name="Kalendarz" caption="Kalendarz"/>
    <measureGroup name="Koszty" caption="Koszty"/>
    <measureGroup name="Plan kont" caption="Plan kont"/>
  </measureGroups>
  <maps count="8">
    <map measureGroup="0" dimension="0"/>
    <map measureGroup="0" dimension="1"/>
    <map measureGroup="0" dimension="4"/>
    <map measureGroup="1" dimension="1"/>
    <map measureGroup="2" dimension="1"/>
    <map measureGroup="2" dimension="2"/>
    <map measureGroup="2" dimension="4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Joanna Sulikowska" refreshedDate="46179.808851273148" backgroundQuery="1" createdVersion="8" refreshedVersion="8" minRefreshableVersion="3" recordCount="0" supportSubquery="1" supportAdvancedDrill="1" xr:uid="{50C0E584-E7F5-49A0-9099-21A9E983A872}">
  <cacheSource type="external" connectionId="1"/>
  <cacheFields count="4">
    <cacheField name="[Measures].[M05.Koszty 2026]" caption="M05.Koszty 2026" numFmtId="0" hierarchy="27" level="32767"/>
    <cacheField name="[Measures].[M06.Budżet 2026]" caption="M06.Budżet 2026" numFmtId="0" hierarchy="28" level="32767"/>
    <cacheField name="[Kalendarz].[Miesiac].[Miesiac]" caption="Miesiac" numFmtId="0" hierarchy="7" level="1">
      <sharedItems count="12">
        <s v="styczeń"/>
        <s v="luty"/>
        <s v="marzec"/>
        <s v="kwiecień"/>
        <s v="maj"/>
        <s v="czerwiec"/>
        <s v="lipiec"/>
        <s v="sierpień"/>
        <s v="wrzesień"/>
        <s v="październik"/>
        <s v="listopad"/>
        <s v="grudzień"/>
      </sharedItems>
    </cacheField>
    <cacheField name="[Measures].[M09.Koszty 2025]" caption="M09.Koszty 2025" numFmtId="0" hierarchy="31" level="32767"/>
  </cacheFields>
  <cacheHierarchies count="45">
    <cacheHierarchy uniqueName="[Budżet].[Konto]" caption="Konto" attribute="1" defaultMemberUniqueName="[Budżet].[Konto].[All]" allUniqueName="[Budżet].[Konto].[All]" dimensionUniqueName="[Budżet]" displayFolder="" count="0" memberValueDatatype="20" unbalanced="0"/>
    <cacheHierarchy uniqueName="[Budżet].[Data]" caption="Data" attribute="1" time="1" defaultMemberUniqueName="[Budżet].[Data].[All]" allUniqueName="[Budżet].[Data].[All]" dimensionUniqueName="[Budżet]" displayFolder="" count="0" memberValueDatatype="7" unbalanced="0"/>
    <cacheHierarchy uniqueName="[Budżet].[Budżet]" caption="Budżet" attribute="1" defaultMemberUniqueName="[Budżet].[Budżet].[All]" allUniqueName="[Budżet].[Budżet].[All]" dimensionUniqueName="[Budżet]" displayFolder="" count="0" memberValueDatatype="5" unbalanced="0"/>
    <cacheHierarchy uniqueName="[Kalendarz].[Data]" caption="Data" attribute="1" time="1" keyAttribute="1" defaultMemberUniqueName="[Kalendarz].[Data].[All]" allUniqueName="[Kalendarz].[Data].[All]" dimensionUniqueName="[Kalendarz]" displayFolder="" count="0" memberValueDatatype="7" unbalanced="0"/>
    <cacheHierarchy uniqueName="[Kalendarz].[Rok]" caption="Rok" attribute="1" time="1" defaultMemberUniqueName="[Kalendarz].[Rok].[All]" allUniqueName="[Kalendarz].[Rok].[All]" dimensionUniqueName="[Kalendarz]" displayFolder="" count="0" memberValueDatatype="20" unbalanced="0"/>
    <cacheHierarchy uniqueName="[Kalendarz].[Hierarchia Rok Miesiąc]" caption="Hierarchia Rok Miesiąc" time="1" defaultMemberUniqueName="[Kalendarz].[Hierarchia Rok Miesiąc].[All]" allUniqueName="[Kalendarz].[Hierarchia Rok Miesiąc].[All]" dimensionUniqueName="[Kalendarz]" displayFolder="" count="0" unbalanced="0"/>
    <cacheHierarchy uniqueName="[Kalendarz].[MiesiacNr]" caption="MiesiacNr" attribute="1" time="1" defaultMemberUniqueName="[Kalendarz].[MiesiacNr].[All]" allUniqueName="[Kalendarz].[MiesiacNr].[All]" dimensionUniqueName="[Kalendarz]" displayFolder="" count="0" memberValueDatatype="20" unbalanced="0"/>
    <cacheHierarchy uniqueName="[Kalendarz].[Miesiac]" caption="Miesiac" attribute="1" time="1" defaultMemberUniqueName="[Kalendarz].[Miesiac].[All]" allUniqueName="[Kalendarz].[Miesiac].[All]" dimensionUniqueName="[Kalendarz]" displayFolder="" count="2" memberValueDatatype="130" unbalanced="0">
      <fieldsUsage count="2">
        <fieldUsage x="-1"/>
        <fieldUsage x="2"/>
      </fieldsUsage>
    </cacheHierarchy>
    <cacheHierarchy uniqueName="[Kalendarz].[Kwartał]" caption="Kwartał" attribute="1" time="1" defaultMemberUniqueName="[Kalendarz].[Kwartał].[All]" allUniqueName="[Kalendarz].[Kwartał].[All]" dimensionUniqueName="[Kalendarz]" displayFolder="" count="0" memberValueDatatype="130" unbalanced="0"/>
    <cacheHierarchy uniqueName="[Kalendarz].[DzienTygodnia]" caption="DzienTygodnia" attribute="1" time="1" defaultMemberUniqueName="[Kalendarz].[DzienTygodnia].[All]" allUniqueName="[Kalendarz].[DzienTygodnia].[All]" dimensionUniqueName="[Kalendarz]" displayFolder="" count="0" memberValueDatatype="130" unbalanced="0"/>
    <cacheHierarchy uniqueName="[Kalendarz].[Rok-Miesiąc]" caption="Rok-Miesiąc" attribute="1" time="1" defaultMemberUniqueName="[Kalendarz].[Rok-Miesiąc].[All]" allUniqueName="[Kalendarz].[Rok-Miesiąc].[All]" dimensionUniqueName="[Kalendarz]" displayFolder="" count="0" memberValueDatatype="130" unbalanced="0"/>
    <cacheHierarchy uniqueName="[Koszty].[Konto]" caption="Konto" attribute="1" defaultMemberUniqueName="[Koszty].[Konto].[All]" allUniqueName="[Koszty].[Konto].[All]" dimensionUniqueName="[Koszty]" displayFolder="" count="0" memberValueDatatype="20" unbalanced="0"/>
    <cacheHierarchy uniqueName="[Koszty].[Data]" caption="Data" attribute="1" time="1" defaultMemberUniqueName="[Koszty].[Data].[All]" allUniqueName="[Koszty].[Data].[All]" dimensionUniqueName="[Koszty]" displayFolder="" count="0" memberValueDatatype="7" unbalanced="0"/>
    <cacheHierarchy uniqueName="[Koszty].[Koszt]" caption="Koszt" attribute="1" defaultMemberUniqueName="[Koszty].[Koszt].[All]" allUniqueName="[Koszty].[Koszt].[All]" dimensionUniqueName="[Koszty]" displayFolder="" count="0" memberValueDatatype="5" unbalanced="0"/>
    <cacheHierarchy uniqueName="[Plan kont].[Konto]" caption="Konto" attribute="1" defaultMemberUniqueName="[Plan kont].[Konto].[All]" allUniqueName="[Plan kont].[Konto].[All]" dimensionUniqueName="[Plan kont]" displayFolder="" count="0" memberValueDatatype="20" unbalanced="0"/>
    <cacheHierarchy uniqueName="[Plan kont].[Analityka]" caption="Analityka" attribute="1" defaultMemberUniqueName="[Plan kont].[Analityka].[All]" allUniqueName="[Plan kont].[Analityka].[All]" dimensionUniqueName="[Plan kont]" displayFolder="" count="0" memberValueDatatype="20" unbalanced="0"/>
    <cacheHierarchy uniqueName="[Plan kont].[MPK]" caption="MPK" attribute="1" defaultMemberUniqueName="[Plan kont].[MPK].[All]" allUniqueName="[Plan kont].[MPK].[All]" dimensionUniqueName="[Plan kont]" displayFolder="" count="2" memberValueDatatype="130" unbalanced="0"/>
    <cacheHierarchy uniqueName="[Plan kont].[Grupa kosztowa]" caption="Grupa kosztowa" attribute="1" defaultMemberUniqueName="[Plan kont].[Grupa kosztowa].[All]" allUniqueName="[Plan kont].[Grupa kosztowa].[All]" dimensionUniqueName="[Plan kont]" displayFolder="" count="2" memberValueDatatype="130" unbalanced="0"/>
    <cacheHierarchy uniqueName="[Plan kont].[Pozycja kosztowa]" caption="Pozycja kosztowa" attribute="1" defaultMemberUniqueName="[Plan kont].[Pozycja kosztowa].[All]" allUniqueName="[Plan kont].[Pozycja kosztowa].[All]" dimensionUniqueName="[Plan kont]" displayFolder="" count="0" memberValueDatatype="130" unbalanced="0"/>
    <cacheHierarchy uniqueName="[Plan kont].[Dysponent]" caption="Dysponent" attribute="1" defaultMemberUniqueName="[Plan kont].[Dysponent].[All]" allUniqueName="[Plan kont].[Dysponent].[All]" dimensionUniqueName="[Plan kont]" displayFolder="" count="2" memberValueDatatype="130" unbalanced="0"/>
    <cacheHierarchy uniqueName="[Measures].[Suma Analityka]" caption="Suma Analityka" measure="1" displayFolder="" measureGroup="Plan kont" count="0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a Konto]" caption="Suma Konto" measure="1" displayFolder="" measureGroup="Budżet" count="0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Liczba MPK]" caption="Liczba MPK" measure="1" displayFolder="" measureGroup="Plan kont" count="0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M01.Koszty]" caption="M01.Koszty" measure="1" displayFolder="" measureGroup="Koszty" count="0"/>
    <cacheHierarchy uniqueName="[Measures].[M02.Budżet]" caption="M02.Budżet" measure="1" displayFolder="" measureGroup="Budżet" count="0"/>
    <cacheHierarchy uniqueName="[Measures].[M03.Odchylenie]" caption="M03.Odchylenie" measure="1" displayFolder="" measureGroup="Budżet" count="0"/>
    <cacheHierarchy uniqueName="[Measures].[M04.Realizacja%]" caption="M04.Realizacja%" measure="1" displayFolder="" measureGroup="Budżet" count="0"/>
    <cacheHierarchy uniqueName="[Measures].[M05.Koszty 2026]" caption="M05.Koszty 2026" measure="1" displayFolder="" measureGroup="Koszty" count="0" oneField="1">
      <fieldsUsage count="1">
        <fieldUsage x="0"/>
      </fieldsUsage>
    </cacheHierarchy>
    <cacheHierarchy uniqueName="[Measures].[M06.Budżet 2026]" caption="M06.Budżet 2026" measure="1" displayFolder="" measureGroup="Budżet" count="0" oneField="1">
      <fieldsUsage count="1">
        <fieldUsage x="1"/>
      </fieldsUsage>
    </cacheHierarchy>
    <cacheHierarchy uniqueName="[Measures].[M07.Odchylenie 2026]" caption="M07.Odchylenie 2026" measure="1" displayFolder="" measureGroup="Budżet" count="0"/>
    <cacheHierarchy uniqueName="[Measures].[M08.Realizacja 2026]" caption="M08.Realizacja 2026" measure="1" displayFolder="" measureGroup="Budżet" count="0"/>
    <cacheHierarchy uniqueName="[Measures].[M09.Koszty 2025]" caption="M09.Koszty 2025" measure="1" displayFolder="" measureGroup="Koszty" count="0" oneField="1">
      <fieldsUsage count="1">
        <fieldUsage x="3"/>
      </fieldsUsage>
    </cacheHierarchy>
    <cacheHierarchy uniqueName="[Measures].[M10.Koszty YoY]" caption="M10.Koszty YoY" measure="1" displayFolder="" measureGroup="Koszty" count="0"/>
    <cacheHierarchy uniqueName="[Measures].[M11.Odchylenie2026%]" caption="M11.Odchylenie2026%" measure="1" displayFolder="" measureGroup="Budżet" count="0"/>
    <cacheHierarchy uniqueName="[Measures].[M12.Odchylenie%Koszty]" caption="M12.Odchylenie%Koszty" measure="1" displayFolder="" measureGroup="Koszty" count="0"/>
    <cacheHierarchy uniqueName="[Measures].[M13.Budżet YTD]" caption="M13.Budżet YTD" measure="1" displayFolder="" measureGroup="Budżet" count="0"/>
    <cacheHierarchy uniqueName="[Measures].[M14.Koszty YTD]" caption="M14.Koszty YTD" measure="1" displayFolder="" measureGroup="Koszty" count="0"/>
    <cacheHierarchy uniqueName="[Measures].[M15.Max Odchylenie MPK]" caption="M15.Max Odchylenie MPK" measure="1" displayFolder="" measureGroup="Budżet" count="0"/>
    <cacheHierarchy uniqueName="[Measures].[M16.Min Odchylenie MPK]" caption="M16.Min Odchylenie MPK" measure="1" displayFolder="" measureGroup="Budżet" count="0"/>
    <cacheHierarchy uniqueName="[Measures].[M17.Max Koszty Grupa]" caption="M17.Max Koszty Grupa" measure="1" displayFolder="" measureGroup="Budżet" count="0"/>
    <cacheHierarchy uniqueName="[Measures].[__XL_Count Budżet]" caption="__XL_Count Budżet" measure="1" displayFolder="" measureGroup="Budżet" count="0" hidden="1"/>
    <cacheHierarchy uniqueName="[Measures].[__XL_Count Koszty]" caption="__XL_Count Koszty" measure="1" displayFolder="" measureGroup="Koszty" count="0" hidden="1"/>
    <cacheHierarchy uniqueName="[Measures].[__XL_Count Plan kont]" caption="__XL_Count Plan kont" measure="1" displayFolder="" measureGroup="Plan kont" count="0" hidden="1"/>
    <cacheHierarchy uniqueName="[Measures].[__XL_Count Kalendarz]" caption="__XL_Count Kalendarz" measure="1" displayFolder="" measureGroup="Kalendarz" count="0" hidden="1"/>
    <cacheHierarchy uniqueName="[Measures].[__No measures defined]" caption="__No measures defined" measure="1" displayFolder="" count="0" hidden="1"/>
  </cacheHierarchies>
  <kpis count="0"/>
  <dimensions count="5">
    <dimension name="Budżet" uniqueName="[Budżet]" caption="Budżet"/>
    <dimension name="Kalendarz" uniqueName="[Kalendarz]" caption="Kalendarz"/>
    <dimension name="Koszty" uniqueName="[Koszty]" caption="Koszty"/>
    <dimension measure="1" name="Measures" uniqueName="[Measures]" caption="Measures"/>
    <dimension name="Plan kont" uniqueName="[Plan kont]" caption="Plan kont"/>
  </dimensions>
  <measureGroups count="4">
    <measureGroup name="Budżet" caption="Budżet"/>
    <measureGroup name="Kalendarz" caption="Kalendarz"/>
    <measureGroup name="Koszty" caption="Koszty"/>
    <measureGroup name="Plan kont" caption="Plan kont"/>
  </measureGroups>
  <maps count="8">
    <map measureGroup="0" dimension="0"/>
    <map measureGroup="0" dimension="1"/>
    <map measureGroup="0" dimension="4"/>
    <map measureGroup="1" dimension="1"/>
    <map measureGroup="2" dimension="1"/>
    <map measureGroup="2" dimension="2"/>
    <map measureGroup="2" dimension="4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Joanna Sulikowska" refreshedDate="46179.808851851849" backgroundQuery="1" createdVersion="8" refreshedVersion="8" minRefreshableVersion="3" recordCount="0" supportSubquery="1" supportAdvancedDrill="1" xr:uid="{3CC179D4-A391-4C97-8F70-224D5140125A}">
  <cacheSource type="external" connectionId="1"/>
  <cacheFields count="2">
    <cacheField name="[Plan kont].[MPK].[MPK]" caption="MPK" numFmtId="0" hierarchy="16" level="1">
      <sharedItems count="13">
        <s v="301 Zakład nr 1"/>
        <s v="302 Zakład nr 2"/>
        <s v="303 Zakład nr 3"/>
        <s v="305 Zakład nr 5"/>
        <s v="306 Zakład nr 6"/>
        <s v="308 Zakład nr 8"/>
        <s v="309 Zakład nr 9"/>
        <s v="411 Dział nieruchomości"/>
        <s v="412 Dział techniczny"/>
        <s v="513 Dział marketingu"/>
        <s v="517 Administracja"/>
        <s v="518 Dział inwestycyjny"/>
        <s v="521 Zarząd"/>
      </sharedItems>
    </cacheField>
    <cacheField name="[Measures].[M07.Odchylenie 2026]" caption="M07.Odchylenie 2026" numFmtId="0" hierarchy="29" level="32767"/>
  </cacheFields>
  <cacheHierarchies count="45">
    <cacheHierarchy uniqueName="[Budżet].[Konto]" caption="Konto" attribute="1" defaultMemberUniqueName="[Budżet].[Konto].[All]" allUniqueName="[Budżet].[Konto].[All]" dimensionUniqueName="[Budżet]" displayFolder="" count="0" memberValueDatatype="20" unbalanced="0"/>
    <cacheHierarchy uniqueName="[Budżet].[Data]" caption="Data" attribute="1" time="1" defaultMemberUniqueName="[Budżet].[Data].[All]" allUniqueName="[Budżet].[Data].[All]" dimensionUniqueName="[Budżet]" displayFolder="" count="0" memberValueDatatype="7" unbalanced="0"/>
    <cacheHierarchy uniqueName="[Budżet].[Budżet]" caption="Budżet" attribute="1" defaultMemberUniqueName="[Budżet].[Budżet].[All]" allUniqueName="[Budżet].[Budżet].[All]" dimensionUniqueName="[Budżet]" displayFolder="" count="0" memberValueDatatype="5" unbalanced="0"/>
    <cacheHierarchy uniqueName="[Kalendarz].[Data]" caption="Data" attribute="1" time="1" keyAttribute="1" defaultMemberUniqueName="[Kalendarz].[Data].[All]" allUniqueName="[Kalendarz].[Data].[All]" dimensionUniqueName="[Kalendarz]" displayFolder="" count="2" memberValueDatatype="7" unbalanced="0"/>
    <cacheHierarchy uniqueName="[Kalendarz].[Rok]" caption="Rok" attribute="1" time="1" defaultMemberUniqueName="[Kalendarz].[Rok].[All]" allUniqueName="[Kalendarz].[Rok].[All]" dimensionUniqueName="[Kalendarz]" displayFolder="" count="0" memberValueDatatype="20" unbalanced="0"/>
    <cacheHierarchy uniqueName="[Kalendarz].[Hierarchia Rok Miesiąc]" caption="Hierarchia Rok Miesiąc" time="1" defaultMemberUniqueName="[Kalendarz].[Hierarchia Rok Miesiąc].[All]" allUniqueName="[Kalendarz].[Hierarchia Rok Miesiąc].[All]" dimensionUniqueName="[Kalendarz]" displayFolder="" count="0" unbalanced="0"/>
    <cacheHierarchy uniqueName="[Kalendarz].[MiesiacNr]" caption="MiesiacNr" attribute="1" time="1" defaultMemberUniqueName="[Kalendarz].[MiesiacNr].[All]" allUniqueName="[Kalendarz].[MiesiacNr].[All]" dimensionUniqueName="[Kalendarz]" displayFolder="" count="0" memberValueDatatype="20" unbalanced="0"/>
    <cacheHierarchy uniqueName="[Kalendarz].[Miesiac]" caption="Miesiac" attribute="1" time="1" defaultMemberUniqueName="[Kalendarz].[Miesiac].[All]" allUniqueName="[Kalendarz].[Miesiac].[All]" dimensionUniqueName="[Kalendarz]" displayFolder="" count="0" memberValueDatatype="130" unbalanced="0"/>
    <cacheHierarchy uniqueName="[Kalendarz].[Kwartał]" caption="Kwartał" attribute="1" time="1" defaultMemberUniqueName="[Kalendarz].[Kwartał].[All]" allUniqueName="[Kalendarz].[Kwartał].[All]" dimensionUniqueName="[Kalendarz]" displayFolder="" count="0" memberValueDatatype="130" unbalanced="0"/>
    <cacheHierarchy uniqueName="[Kalendarz].[DzienTygodnia]" caption="DzienTygodnia" attribute="1" time="1" defaultMemberUniqueName="[Kalendarz].[DzienTygodnia].[All]" allUniqueName="[Kalendarz].[DzienTygodnia].[All]" dimensionUniqueName="[Kalendarz]" displayFolder="" count="0" memberValueDatatype="130" unbalanced="0"/>
    <cacheHierarchy uniqueName="[Kalendarz].[Rok-Miesiąc]" caption="Rok-Miesiąc" attribute="1" time="1" defaultMemberUniqueName="[Kalendarz].[Rok-Miesiąc].[All]" allUniqueName="[Kalendarz].[Rok-Miesiąc].[All]" dimensionUniqueName="[Kalendarz]" displayFolder="" count="0" memberValueDatatype="130" unbalanced="0"/>
    <cacheHierarchy uniqueName="[Koszty].[Konto]" caption="Konto" attribute="1" defaultMemberUniqueName="[Koszty].[Konto].[All]" allUniqueName="[Koszty].[Konto].[All]" dimensionUniqueName="[Koszty]" displayFolder="" count="0" memberValueDatatype="20" unbalanced="0"/>
    <cacheHierarchy uniqueName="[Koszty].[Data]" caption="Data" attribute="1" time="1" defaultMemberUniqueName="[Koszty].[Data].[All]" allUniqueName="[Koszty].[Data].[All]" dimensionUniqueName="[Koszty]" displayFolder="" count="0" memberValueDatatype="7" unbalanced="0"/>
    <cacheHierarchy uniqueName="[Koszty].[Koszt]" caption="Koszt" attribute="1" defaultMemberUniqueName="[Koszty].[Koszt].[All]" allUniqueName="[Koszty].[Koszt].[All]" dimensionUniqueName="[Koszty]" displayFolder="" count="0" memberValueDatatype="5" unbalanced="0"/>
    <cacheHierarchy uniqueName="[Plan kont].[Konto]" caption="Konto" attribute="1" defaultMemberUniqueName="[Plan kont].[Konto].[All]" allUniqueName="[Plan kont].[Konto].[All]" dimensionUniqueName="[Plan kont]" displayFolder="" count="0" memberValueDatatype="20" unbalanced="0"/>
    <cacheHierarchy uniqueName="[Plan kont].[Analityka]" caption="Analityka" attribute="1" defaultMemberUniqueName="[Plan kont].[Analityka].[All]" allUniqueName="[Plan kont].[Analityka].[All]" dimensionUniqueName="[Plan kont]" displayFolder="" count="0" memberValueDatatype="20" unbalanced="0"/>
    <cacheHierarchy uniqueName="[Plan kont].[MPK]" caption="MPK" attribute="1" defaultMemberUniqueName="[Plan kont].[MPK].[All]" allUniqueName="[Plan kont].[MPK].[All]" dimensionUniqueName="[Plan kont]" displayFolder="" count="2" memberValueDatatype="130" unbalanced="0">
      <fieldsUsage count="2">
        <fieldUsage x="-1"/>
        <fieldUsage x="0"/>
      </fieldsUsage>
    </cacheHierarchy>
    <cacheHierarchy uniqueName="[Plan kont].[Grupa kosztowa]" caption="Grupa kosztowa" attribute="1" defaultMemberUniqueName="[Plan kont].[Grupa kosztowa].[All]" allUniqueName="[Plan kont].[Grupa kosztowa].[All]" dimensionUniqueName="[Plan kont]" displayFolder="" count="2" memberValueDatatype="130" unbalanced="0"/>
    <cacheHierarchy uniqueName="[Plan kont].[Pozycja kosztowa]" caption="Pozycja kosztowa" attribute="1" defaultMemberUniqueName="[Plan kont].[Pozycja kosztowa].[All]" allUniqueName="[Plan kont].[Pozycja kosztowa].[All]" dimensionUniqueName="[Plan kont]" displayFolder="" count="0" memberValueDatatype="130" unbalanced="0"/>
    <cacheHierarchy uniqueName="[Plan kont].[Dysponent]" caption="Dysponent" attribute="1" defaultMemberUniqueName="[Plan kont].[Dysponent].[All]" allUniqueName="[Plan kont].[Dysponent].[All]" dimensionUniqueName="[Plan kont]" displayFolder="" count="2" memberValueDatatype="130" unbalanced="0"/>
    <cacheHierarchy uniqueName="[Measures].[Suma Analityka]" caption="Suma Analityka" measure="1" displayFolder="" measureGroup="Plan kont" count="0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a Konto]" caption="Suma Konto" measure="1" displayFolder="" measureGroup="Budżet" count="0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Liczba MPK]" caption="Liczba MPK" measure="1" displayFolder="" measureGroup="Plan kont" count="0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M01.Koszty]" caption="M01.Koszty" measure="1" displayFolder="" measureGroup="Koszty" count="0"/>
    <cacheHierarchy uniqueName="[Measures].[M02.Budżet]" caption="M02.Budżet" measure="1" displayFolder="" measureGroup="Budżet" count="0"/>
    <cacheHierarchy uniqueName="[Measures].[M03.Odchylenie]" caption="M03.Odchylenie" measure="1" displayFolder="" measureGroup="Budżet" count="0"/>
    <cacheHierarchy uniqueName="[Measures].[M04.Realizacja%]" caption="M04.Realizacja%" measure="1" displayFolder="" measureGroup="Budżet" count="0"/>
    <cacheHierarchy uniqueName="[Measures].[M05.Koszty 2026]" caption="M05.Koszty 2026" measure="1" displayFolder="" measureGroup="Koszty" count="0"/>
    <cacheHierarchy uniqueName="[Measures].[M06.Budżet 2026]" caption="M06.Budżet 2026" measure="1" displayFolder="" measureGroup="Budżet" count="0"/>
    <cacheHierarchy uniqueName="[Measures].[M07.Odchylenie 2026]" caption="M07.Odchylenie 2026" measure="1" displayFolder="" measureGroup="Budżet" count="0" oneField="1">
      <fieldsUsage count="1">
        <fieldUsage x="1"/>
      </fieldsUsage>
    </cacheHierarchy>
    <cacheHierarchy uniqueName="[Measures].[M08.Realizacja 2026]" caption="M08.Realizacja 2026" measure="1" displayFolder="" measureGroup="Budżet" count="0"/>
    <cacheHierarchy uniqueName="[Measures].[M09.Koszty 2025]" caption="M09.Koszty 2025" measure="1" displayFolder="" measureGroup="Koszty" count="0"/>
    <cacheHierarchy uniqueName="[Measures].[M10.Koszty YoY]" caption="M10.Koszty YoY" measure="1" displayFolder="" measureGroup="Koszty" count="0"/>
    <cacheHierarchy uniqueName="[Measures].[M11.Odchylenie2026%]" caption="M11.Odchylenie2026%" measure="1" displayFolder="" measureGroup="Budżet" count="0"/>
    <cacheHierarchy uniqueName="[Measures].[M12.Odchylenie%Koszty]" caption="M12.Odchylenie%Koszty" measure="1" displayFolder="" measureGroup="Koszty" count="0"/>
    <cacheHierarchy uniqueName="[Measures].[M13.Budżet YTD]" caption="M13.Budżet YTD" measure="1" displayFolder="" measureGroup="Budżet" count="0"/>
    <cacheHierarchy uniqueName="[Measures].[M14.Koszty YTD]" caption="M14.Koszty YTD" measure="1" displayFolder="" measureGroup="Koszty" count="0"/>
    <cacheHierarchy uniqueName="[Measures].[M15.Max Odchylenie MPK]" caption="M15.Max Odchylenie MPK" measure="1" displayFolder="" measureGroup="Budżet" count="0"/>
    <cacheHierarchy uniqueName="[Measures].[M16.Min Odchylenie MPK]" caption="M16.Min Odchylenie MPK" measure="1" displayFolder="" measureGroup="Budżet" count="0"/>
    <cacheHierarchy uniqueName="[Measures].[M17.Max Koszty Grupa]" caption="M17.Max Koszty Grupa" measure="1" displayFolder="" measureGroup="Budżet" count="0"/>
    <cacheHierarchy uniqueName="[Measures].[__XL_Count Budżet]" caption="__XL_Count Budżet" measure="1" displayFolder="" measureGroup="Budżet" count="0" hidden="1"/>
    <cacheHierarchy uniqueName="[Measures].[__XL_Count Koszty]" caption="__XL_Count Koszty" measure="1" displayFolder="" measureGroup="Koszty" count="0" hidden="1"/>
    <cacheHierarchy uniqueName="[Measures].[__XL_Count Plan kont]" caption="__XL_Count Plan kont" measure="1" displayFolder="" measureGroup="Plan kont" count="0" hidden="1"/>
    <cacheHierarchy uniqueName="[Measures].[__XL_Count Kalendarz]" caption="__XL_Count Kalendarz" measure="1" displayFolder="" measureGroup="Kalendarz" count="0" hidden="1"/>
    <cacheHierarchy uniqueName="[Measures].[__No measures defined]" caption="__No measures defined" measure="1" displayFolder="" count="0" hidden="1"/>
  </cacheHierarchies>
  <kpis count="0"/>
  <dimensions count="5">
    <dimension name="Budżet" uniqueName="[Budżet]" caption="Budżet"/>
    <dimension name="Kalendarz" uniqueName="[Kalendarz]" caption="Kalendarz"/>
    <dimension name="Koszty" uniqueName="[Koszty]" caption="Koszty"/>
    <dimension measure="1" name="Measures" uniqueName="[Measures]" caption="Measures"/>
    <dimension name="Plan kont" uniqueName="[Plan kont]" caption="Plan kont"/>
  </dimensions>
  <measureGroups count="4">
    <measureGroup name="Budżet" caption="Budżet"/>
    <measureGroup name="Kalendarz" caption="Kalendarz"/>
    <measureGroup name="Koszty" caption="Koszty"/>
    <measureGroup name="Plan kont" caption="Plan kont"/>
  </measureGroups>
  <maps count="8">
    <map measureGroup="0" dimension="0"/>
    <map measureGroup="0" dimension="1"/>
    <map measureGroup="0" dimension="4"/>
    <map measureGroup="1" dimension="1"/>
    <map measureGroup="2" dimension="1"/>
    <map measureGroup="2" dimension="2"/>
    <map measureGroup="2" dimension="4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Joanna Sulikowska" refreshedDate="46179.808852430557" backgroundQuery="1" createdVersion="8" refreshedVersion="8" minRefreshableVersion="3" recordCount="0" supportSubquery="1" supportAdvancedDrill="1" xr:uid="{4A72B32A-231C-4E1D-954F-35F7B627A135}">
  <cacheSource type="external" connectionId="1"/>
  <cacheFields count="2">
    <cacheField name="[Plan kont].[Grupa kosztowa].[Grupa kosztowa]" caption="Grupa kosztowa" numFmtId="0" hierarchy="17" level="1">
      <sharedItems count="8">
        <s v="01 Amortyzacja"/>
        <s v="02 Materiały"/>
        <s v="03 Usługi"/>
        <s v="04 Podatki i opłaty"/>
        <s v="05 Wynagrodzenia"/>
        <s v="06 ZUS i inne świadczenia"/>
        <s v="08 Reklama i marketing"/>
        <s v="09 Pozostałe koszty rodzajowe"/>
      </sharedItems>
    </cacheField>
    <cacheField name="[Measures].[M05.Koszty 2026]" caption="M05.Koszty 2026" numFmtId="0" hierarchy="27" level="32767"/>
  </cacheFields>
  <cacheHierarchies count="45">
    <cacheHierarchy uniqueName="[Budżet].[Konto]" caption="Konto" attribute="1" defaultMemberUniqueName="[Budżet].[Konto].[All]" allUniqueName="[Budżet].[Konto].[All]" dimensionUniqueName="[Budżet]" displayFolder="" count="0" memberValueDatatype="20" unbalanced="0"/>
    <cacheHierarchy uniqueName="[Budżet].[Data]" caption="Data" attribute="1" time="1" defaultMemberUniqueName="[Budżet].[Data].[All]" allUniqueName="[Budżet].[Data].[All]" dimensionUniqueName="[Budżet]" displayFolder="" count="0" memberValueDatatype="7" unbalanced="0"/>
    <cacheHierarchy uniqueName="[Budżet].[Budżet]" caption="Budżet" attribute="1" defaultMemberUniqueName="[Budżet].[Budżet].[All]" allUniqueName="[Budżet].[Budżet].[All]" dimensionUniqueName="[Budżet]" displayFolder="" count="0" memberValueDatatype="5" unbalanced="0"/>
    <cacheHierarchy uniqueName="[Kalendarz].[Data]" caption="Data" attribute="1" time="1" keyAttribute="1" defaultMemberUniqueName="[Kalendarz].[Data].[All]" allUniqueName="[Kalendarz].[Data].[All]" dimensionUniqueName="[Kalendarz]" displayFolder="" count="2" memberValueDatatype="7" unbalanced="0"/>
    <cacheHierarchy uniqueName="[Kalendarz].[Rok]" caption="Rok" attribute="1" time="1" defaultMemberUniqueName="[Kalendarz].[Rok].[All]" allUniqueName="[Kalendarz].[Rok].[All]" dimensionUniqueName="[Kalendarz]" displayFolder="" count="0" memberValueDatatype="20" unbalanced="0"/>
    <cacheHierarchy uniqueName="[Kalendarz].[Hierarchia Rok Miesiąc]" caption="Hierarchia Rok Miesiąc" time="1" defaultMemberUniqueName="[Kalendarz].[Hierarchia Rok Miesiąc].[All]" allUniqueName="[Kalendarz].[Hierarchia Rok Miesiąc].[All]" dimensionUniqueName="[Kalendarz]" displayFolder="" count="0" unbalanced="0"/>
    <cacheHierarchy uniqueName="[Kalendarz].[MiesiacNr]" caption="MiesiacNr" attribute="1" time="1" defaultMemberUniqueName="[Kalendarz].[MiesiacNr].[All]" allUniqueName="[Kalendarz].[MiesiacNr].[All]" dimensionUniqueName="[Kalendarz]" displayFolder="" count="0" memberValueDatatype="20" unbalanced="0"/>
    <cacheHierarchy uniqueName="[Kalendarz].[Miesiac]" caption="Miesiac" attribute="1" time="1" defaultMemberUniqueName="[Kalendarz].[Miesiac].[All]" allUniqueName="[Kalendarz].[Miesiac].[All]" dimensionUniqueName="[Kalendarz]" displayFolder="" count="0" memberValueDatatype="130" unbalanced="0"/>
    <cacheHierarchy uniqueName="[Kalendarz].[Kwartał]" caption="Kwartał" attribute="1" time="1" defaultMemberUniqueName="[Kalendarz].[Kwartał].[All]" allUniqueName="[Kalendarz].[Kwartał].[All]" dimensionUniqueName="[Kalendarz]" displayFolder="" count="0" memberValueDatatype="130" unbalanced="0"/>
    <cacheHierarchy uniqueName="[Kalendarz].[DzienTygodnia]" caption="DzienTygodnia" attribute="1" time="1" defaultMemberUniqueName="[Kalendarz].[DzienTygodnia].[All]" allUniqueName="[Kalendarz].[DzienTygodnia].[All]" dimensionUniqueName="[Kalendarz]" displayFolder="" count="0" memberValueDatatype="130" unbalanced="0"/>
    <cacheHierarchy uniqueName="[Kalendarz].[Rok-Miesiąc]" caption="Rok-Miesiąc" attribute="1" time="1" defaultMemberUniqueName="[Kalendarz].[Rok-Miesiąc].[All]" allUniqueName="[Kalendarz].[Rok-Miesiąc].[All]" dimensionUniqueName="[Kalendarz]" displayFolder="" count="0" memberValueDatatype="130" unbalanced="0"/>
    <cacheHierarchy uniqueName="[Koszty].[Konto]" caption="Konto" attribute="1" defaultMemberUniqueName="[Koszty].[Konto].[All]" allUniqueName="[Koszty].[Konto].[All]" dimensionUniqueName="[Koszty]" displayFolder="" count="0" memberValueDatatype="20" unbalanced="0"/>
    <cacheHierarchy uniqueName="[Koszty].[Data]" caption="Data" attribute="1" time="1" defaultMemberUniqueName="[Koszty].[Data].[All]" allUniqueName="[Koszty].[Data].[All]" dimensionUniqueName="[Koszty]" displayFolder="" count="0" memberValueDatatype="7" unbalanced="0"/>
    <cacheHierarchy uniqueName="[Koszty].[Koszt]" caption="Koszt" attribute="1" defaultMemberUniqueName="[Koszty].[Koszt].[All]" allUniqueName="[Koszty].[Koszt].[All]" dimensionUniqueName="[Koszty]" displayFolder="" count="0" memberValueDatatype="5" unbalanced="0"/>
    <cacheHierarchy uniqueName="[Plan kont].[Konto]" caption="Konto" attribute="1" defaultMemberUniqueName="[Plan kont].[Konto].[All]" allUniqueName="[Plan kont].[Konto].[All]" dimensionUniqueName="[Plan kont]" displayFolder="" count="0" memberValueDatatype="20" unbalanced="0"/>
    <cacheHierarchy uniqueName="[Plan kont].[Analityka]" caption="Analityka" attribute="1" defaultMemberUniqueName="[Plan kont].[Analityka].[All]" allUniqueName="[Plan kont].[Analityka].[All]" dimensionUniqueName="[Plan kont]" displayFolder="" count="0" memberValueDatatype="20" unbalanced="0"/>
    <cacheHierarchy uniqueName="[Plan kont].[MPK]" caption="MPK" attribute="1" defaultMemberUniqueName="[Plan kont].[MPK].[All]" allUniqueName="[Plan kont].[MPK].[All]" dimensionUniqueName="[Plan kont]" displayFolder="" count="2" memberValueDatatype="130" unbalanced="0"/>
    <cacheHierarchy uniqueName="[Plan kont].[Grupa kosztowa]" caption="Grupa kosztowa" attribute="1" defaultMemberUniqueName="[Plan kont].[Grupa kosztowa].[All]" allUniqueName="[Plan kont].[Grupa kosztowa].[All]" dimensionUniqueName="[Plan kont]" displayFolder="" count="2" memberValueDatatype="130" unbalanced="0">
      <fieldsUsage count="2">
        <fieldUsage x="-1"/>
        <fieldUsage x="0"/>
      </fieldsUsage>
    </cacheHierarchy>
    <cacheHierarchy uniqueName="[Plan kont].[Pozycja kosztowa]" caption="Pozycja kosztowa" attribute="1" defaultMemberUniqueName="[Plan kont].[Pozycja kosztowa].[All]" allUniqueName="[Plan kont].[Pozycja kosztowa].[All]" dimensionUniqueName="[Plan kont]" displayFolder="" count="0" memberValueDatatype="130" unbalanced="0"/>
    <cacheHierarchy uniqueName="[Plan kont].[Dysponent]" caption="Dysponent" attribute="1" defaultMemberUniqueName="[Plan kont].[Dysponent].[All]" allUniqueName="[Plan kont].[Dysponent].[All]" dimensionUniqueName="[Plan kont]" displayFolder="" count="2" memberValueDatatype="130" unbalanced="0"/>
    <cacheHierarchy uniqueName="[Measures].[Suma Analityka]" caption="Suma Analityka" measure="1" displayFolder="" measureGroup="Plan kont" count="0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a Konto]" caption="Suma Konto" measure="1" displayFolder="" measureGroup="Budżet" count="0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Liczba MPK]" caption="Liczba MPK" measure="1" displayFolder="" measureGroup="Plan kont" count="0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M01.Koszty]" caption="M01.Koszty" measure="1" displayFolder="" measureGroup="Koszty" count="0"/>
    <cacheHierarchy uniqueName="[Measures].[M02.Budżet]" caption="M02.Budżet" measure="1" displayFolder="" measureGroup="Budżet" count="0"/>
    <cacheHierarchy uniqueName="[Measures].[M03.Odchylenie]" caption="M03.Odchylenie" measure="1" displayFolder="" measureGroup="Budżet" count="0"/>
    <cacheHierarchy uniqueName="[Measures].[M04.Realizacja%]" caption="M04.Realizacja%" measure="1" displayFolder="" measureGroup="Budżet" count="0"/>
    <cacheHierarchy uniqueName="[Measures].[M05.Koszty 2026]" caption="M05.Koszty 2026" measure="1" displayFolder="" measureGroup="Koszty" count="0" oneField="1">
      <fieldsUsage count="1">
        <fieldUsage x="1"/>
      </fieldsUsage>
    </cacheHierarchy>
    <cacheHierarchy uniqueName="[Measures].[M06.Budżet 2026]" caption="M06.Budżet 2026" measure="1" displayFolder="" measureGroup="Budżet" count="0"/>
    <cacheHierarchy uniqueName="[Measures].[M07.Odchylenie 2026]" caption="M07.Odchylenie 2026" measure="1" displayFolder="" measureGroup="Budżet" count="0"/>
    <cacheHierarchy uniqueName="[Measures].[M08.Realizacja 2026]" caption="M08.Realizacja 2026" measure="1" displayFolder="" measureGroup="Budżet" count="0"/>
    <cacheHierarchy uniqueName="[Measures].[M09.Koszty 2025]" caption="M09.Koszty 2025" measure="1" displayFolder="" measureGroup="Koszty" count="0"/>
    <cacheHierarchy uniqueName="[Measures].[M10.Koszty YoY]" caption="M10.Koszty YoY" measure="1" displayFolder="" measureGroup="Koszty" count="0"/>
    <cacheHierarchy uniqueName="[Measures].[M11.Odchylenie2026%]" caption="M11.Odchylenie2026%" measure="1" displayFolder="" measureGroup="Budżet" count="0"/>
    <cacheHierarchy uniqueName="[Measures].[M12.Odchylenie%Koszty]" caption="M12.Odchylenie%Koszty" measure="1" displayFolder="" measureGroup="Koszty" count="0"/>
    <cacheHierarchy uniqueName="[Measures].[M13.Budżet YTD]" caption="M13.Budżet YTD" measure="1" displayFolder="" measureGroup="Budżet" count="0"/>
    <cacheHierarchy uniqueName="[Measures].[M14.Koszty YTD]" caption="M14.Koszty YTD" measure="1" displayFolder="" measureGroup="Koszty" count="0"/>
    <cacheHierarchy uniqueName="[Measures].[M15.Max Odchylenie MPK]" caption="M15.Max Odchylenie MPK" measure="1" displayFolder="" measureGroup="Budżet" count="0"/>
    <cacheHierarchy uniqueName="[Measures].[M16.Min Odchylenie MPK]" caption="M16.Min Odchylenie MPK" measure="1" displayFolder="" measureGroup="Budżet" count="0"/>
    <cacheHierarchy uniqueName="[Measures].[M17.Max Koszty Grupa]" caption="M17.Max Koszty Grupa" measure="1" displayFolder="" measureGroup="Budżet" count="0"/>
    <cacheHierarchy uniqueName="[Measures].[__XL_Count Budżet]" caption="__XL_Count Budżet" measure="1" displayFolder="" measureGroup="Budżet" count="0" hidden="1"/>
    <cacheHierarchy uniqueName="[Measures].[__XL_Count Koszty]" caption="__XL_Count Koszty" measure="1" displayFolder="" measureGroup="Koszty" count="0" hidden="1"/>
    <cacheHierarchy uniqueName="[Measures].[__XL_Count Plan kont]" caption="__XL_Count Plan kont" measure="1" displayFolder="" measureGroup="Plan kont" count="0" hidden="1"/>
    <cacheHierarchy uniqueName="[Measures].[__XL_Count Kalendarz]" caption="__XL_Count Kalendarz" measure="1" displayFolder="" measureGroup="Kalendarz" count="0" hidden="1"/>
    <cacheHierarchy uniqueName="[Measures].[__No measures defined]" caption="__No measures defined" measure="1" displayFolder="" count="0" hidden="1"/>
  </cacheHierarchies>
  <kpis count="0"/>
  <dimensions count="5">
    <dimension name="Budżet" uniqueName="[Budżet]" caption="Budżet"/>
    <dimension name="Kalendarz" uniqueName="[Kalendarz]" caption="Kalendarz"/>
    <dimension name="Koszty" uniqueName="[Koszty]" caption="Koszty"/>
    <dimension measure="1" name="Measures" uniqueName="[Measures]" caption="Measures"/>
    <dimension name="Plan kont" uniqueName="[Plan kont]" caption="Plan kont"/>
  </dimensions>
  <measureGroups count="4">
    <measureGroup name="Budżet" caption="Budżet"/>
    <measureGroup name="Kalendarz" caption="Kalendarz"/>
    <measureGroup name="Koszty" caption="Koszty"/>
    <measureGroup name="Plan kont" caption="Plan kont"/>
  </measureGroups>
  <maps count="8">
    <map measureGroup="0" dimension="0"/>
    <map measureGroup="0" dimension="1"/>
    <map measureGroup="0" dimension="4"/>
    <map measureGroup="1" dimension="1"/>
    <map measureGroup="2" dimension="1"/>
    <map measureGroup="2" dimension="2"/>
    <map measureGroup="2" dimension="4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Joanna Sulikowska" refreshedDate="46179.80885277778" backgroundQuery="1" createdVersion="8" refreshedVersion="8" minRefreshableVersion="3" recordCount="0" supportSubquery="1" supportAdvancedDrill="1" xr:uid="{B6C40E17-E747-42A5-A40E-16BA3978EE61}">
  <cacheSource type="external" connectionId="1"/>
  <cacheFields count="3">
    <cacheField name="[Measures].[M15.Max Odchylenie MPK]" caption="M15.Max Odchylenie MPK" numFmtId="0" hierarchy="37" level="32767"/>
    <cacheField name="[Measures].[M16.Min Odchylenie MPK]" caption="M16.Min Odchylenie MPK" numFmtId="0" hierarchy="38" level="32767"/>
    <cacheField name="[Measures].[M17.Max Koszty Grupa]" caption="M17.Max Koszty Grupa" numFmtId="0" hierarchy="39" level="32767"/>
  </cacheFields>
  <cacheHierarchies count="45">
    <cacheHierarchy uniqueName="[Budżet].[Konto]" caption="Konto" attribute="1" defaultMemberUniqueName="[Budżet].[Konto].[All]" allUniqueName="[Budżet].[Konto].[All]" dimensionUniqueName="[Budżet]" displayFolder="" count="0" memberValueDatatype="20" unbalanced="0"/>
    <cacheHierarchy uniqueName="[Budżet].[Data]" caption="Data" attribute="1" time="1" defaultMemberUniqueName="[Budżet].[Data].[All]" allUniqueName="[Budżet].[Data].[All]" dimensionUniqueName="[Budżet]" displayFolder="" count="0" memberValueDatatype="7" unbalanced="0"/>
    <cacheHierarchy uniqueName="[Budżet].[Budżet]" caption="Budżet" attribute="1" defaultMemberUniqueName="[Budżet].[Budżet].[All]" allUniqueName="[Budżet].[Budżet].[All]" dimensionUniqueName="[Budżet]" displayFolder="" count="0" memberValueDatatype="5" unbalanced="0"/>
    <cacheHierarchy uniqueName="[Kalendarz].[Data]" caption="Data" attribute="1" time="1" keyAttribute="1" defaultMemberUniqueName="[Kalendarz].[Data].[All]" allUniqueName="[Kalendarz].[Data].[All]" dimensionUniqueName="[Kalendarz]" displayFolder="" count="2" memberValueDatatype="7" unbalanced="0"/>
    <cacheHierarchy uniqueName="[Kalendarz].[Rok]" caption="Rok" attribute="1" time="1" defaultMemberUniqueName="[Kalendarz].[Rok].[All]" allUniqueName="[Kalendarz].[Rok].[All]" dimensionUniqueName="[Kalendarz]" displayFolder="" count="0" memberValueDatatype="20" unbalanced="0"/>
    <cacheHierarchy uniqueName="[Kalendarz].[Hierarchia Rok Miesiąc]" caption="Hierarchia Rok Miesiąc" time="1" defaultMemberUniqueName="[Kalendarz].[Hierarchia Rok Miesiąc].[All]" allUniqueName="[Kalendarz].[Hierarchia Rok Miesiąc].[All]" dimensionUniqueName="[Kalendarz]" displayFolder="" count="0" unbalanced="0"/>
    <cacheHierarchy uniqueName="[Kalendarz].[MiesiacNr]" caption="MiesiacNr" attribute="1" time="1" defaultMemberUniqueName="[Kalendarz].[MiesiacNr].[All]" allUniqueName="[Kalendarz].[MiesiacNr].[All]" dimensionUniqueName="[Kalendarz]" displayFolder="" count="0" memberValueDatatype="20" unbalanced="0"/>
    <cacheHierarchy uniqueName="[Kalendarz].[Miesiac]" caption="Miesiac" attribute="1" time="1" defaultMemberUniqueName="[Kalendarz].[Miesiac].[All]" allUniqueName="[Kalendarz].[Miesiac].[All]" dimensionUniqueName="[Kalendarz]" displayFolder="" count="0" memberValueDatatype="130" unbalanced="0"/>
    <cacheHierarchy uniqueName="[Kalendarz].[Kwartał]" caption="Kwartał" attribute="1" time="1" defaultMemberUniqueName="[Kalendarz].[Kwartał].[All]" allUniqueName="[Kalendarz].[Kwartał].[All]" dimensionUniqueName="[Kalendarz]" displayFolder="" count="0" memberValueDatatype="130" unbalanced="0"/>
    <cacheHierarchy uniqueName="[Kalendarz].[DzienTygodnia]" caption="DzienTygodnia" attribute="1" time="1" defaultMemberUniqueName="[Kalendarz].[DzienTygodnia].[All]" allUniqueName="[Kalendarz].[DzienTygodnia].[All]" dimensionUniqueName="[Kalendarz]" displayFolder="" count="0" memberValueDatatype="130" unbalanced="0"/>
    <cacheHierarchy uniqueName="[Kalendarz].[Rok-Miesiąc]" caption="Rok-Miesiąc" attribute="1" time="1" defaultMemberUniqueName="[Kalendarz].[Rok-Miesiąc].[All]" allUniqueName="[Kalendarz].[Rok-Miesiąc].[All]" dimensionUniqueName="[Kalendarz]" displayFolder="" count="0" memberValueDatatype="130" unbalanced="0"/>
    <cacheHierarchy uniqueName="[Koszty].[Konto]" caption="Konto" attribute="1" defaultMemberUniqueName="[Koszty].[Konto].[All]" allUniqueName="[Koszty].[Konto].[All]" dimensionUniqueName="[Koszty]" displayFolder="" count="0" memberValueDatatype="20" unbalanced="0"/>
    <cacheHierarchy uniqueName="[Koszty].[Data]" caption="Data" attribute="1" time="1" defaultMemberUniqueName="[Koszty].[Data].[All]" allUniqueName="[Koszty].[Data].[All]" dimensionUniqueName="[Koszty]" displayFolder="" count="0" memberValueDatatype="7" unbalanced="0"/>
    <cacheHierarchy uniqueName="[Koszty].[Koszt]" caption="Koszt" attribute="1" defaultMemberUniqueName="[Koszty].[Koszt].[All]" allUniqueName="[Koszty].[Koszt].[All]" dimensionUniqueName="[Koszty]" displayFolder="" count="0" memberValueDatatype="5" unbalanced="0"/>
    <cacheHierarchy uniqueName="[Plan kont].[Konto]" caption="Konto" attribute="1" defaultMemberUniqueName="[Plan kont].[Konto].[All]" allUniqueName="[Plan kont].[Konto].[All]" dimensionUniqueName="[Plan kont]" displayFolder="" count="0" memberValueDatatype="20" unbalanced="0"/>
    <cacheHierarchy uniqueName="[Plan kont].[Analityka]" caption="Analityka" attribute="1" defaultMemberUniqueName="[Plan kont].[Analityka].[All]" allUniqueName="[Plan kont].[Analityka].[All]" dimensionUniqueName="[Plan kont]" displayFolder="" count="0" memberValueDatatype="20" unbalanced="0"/>
    <cacheHierarchy uniqueName="[Plan kont].[MPK]" caption="MPK" attribute="1" defaultMemberUniqueName="[Plan kont].[MPK].[All]" allUniqueName="[Plan kont].[MPK].[All]" dimensionUniqueName="[Plan kont]" displayFolder="" count="2" memberValueDatatype="130" unbalanced="0"/>
    <cacheHierarchy uniqueName="[Plan kont].[Grupa kosztowa]" caption="Grupa kosztowa" attribute="1" defaultMemberUniqueName="[Plan kont].[Grupa kosztowa].[All]" allUniqueName="[Plan kont].[Grupa kosztowa].[All]" dimensionUniqueName="[Plan kont]" displayFolder="" count="2" memberValueDatatype="130" unbalanced="0"/>
    <cacheHierarchy uniqueName="[Plan kont].[Pozycja kosztowa]" caption="Pozycja kosztowa" attribute="1" defaultMemberUniqueName="[Plan kont].[Pozycja kosztowa].[All]" allUniqueName="[Plan kont].[Pozycja kosztowa].[All]" dimensionUniqueName="[Plan kont]" displayFolder="" count="0" memberValueDatatype="130" unbalanced="0"/>
    <cacheHierarchy uniqueName="[Plan kont].[Dysponent]" caption="Dysponent" attribute="1" defaultMemberUniqueName="[Plan kont].[Dysponent].[All]" allUniqueName="[Plan kont].[Dysponent].[All]" dimensionUniqueName="[Plan kont]" displayFolder="" count="2" memberValueDatatype="130" unbalanced="0"/>
    <cacheHierarchy uniqueName="[Measures].[Suma Analityka]" caption="Suma Analityka" measure="1" displayFolder="" measureGroup="Plan kont" count="0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a Konto]" caption="Suma Konto" measure="1" displayFolder="" measureGroup="Budżet" count="0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Liczba MPK]" caption="Liczba MPK" measure="1" displayFolder="" measureGroup="Plan kont" count="0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M01.Koszty]" caption="M01.Koszty" measure="1" displayFolder="" measureGroup="Koszty" count="0"/>
    <cacheHierarchy uniqueName="[Measures].[M02.Budżet]" caption="M02.Budżet" measure="1" displayFolder="" measureGroup="Budżet" count="0"/>
    <cacheHierarchy uniqueName="[Measures].[M03.Odchylenie]" caption="M03.Odchylenie" measure="1" displayFolder="" measureGroup="Budżet" count="0"/>
    <cacheHierarchy uniqueName="[Measures].[M04.Realizacja%]" caption="M04.Realizacja%" measure="1" displayFolder="" measureGroup="Budżet" count="0"/>
    <cacheHierarchy uniqueName="[Measures].[M05.Koszty 2026]" caption="M05.Koszty 2026" measure="1" displayFolder="" measureGroup="Koszty" count="0"/>
    <cacheHierarchy uniqueName="[Measures].[M06.Budżet 2026]" caption="M06.Budżet 2026" measure="1" displayFolder="" measureGroup="Budżet" count="0"/>
    <cacheHierarchy uniqueName="[Measures].[M07.Odchylenie 2026]" caption="M07.Odchylenie 2026" measure="1" displayFolder="" measureGroup="Budżet" count="0"/>
    <cacheHierarchy uniqueName="[Measures].[M08.Realizacja 2026]" caption="M08.Realizacja 2026" measure="1" displayFolder="" measureGroup="Budżet" count="0"/>
    <cacheHierarchy uniqueName="[Measures].[M09.Koszty 2025]" caption="M09.Koszty 2025" measure="1" displayFolder="" measureGroup="Koszty" count="0"/>
    <cacheHierarchy uniqueName="[Measures].[M10.Koszty YoY]" caption="M10.Koszty YoY" measure="1" displayFolder="" measureGroup="Koszty" count="0"/>
    <cacheHierarchy uniqueName="[Measures].[M11.Odchylenie2026%]" caption="M11.Odchylenie2026%" measure="1" displayFolder="" measureGroup="Budżet" count="0"/>
    <cacheHierarchy uniqueName="[Measures].[M12.Odchylenie%Koszty]" caption="M12.Odchylenie%Koszty" measure="1" displayFolder="" measureGroup="Koszty" count="0"/>
    <cacheHierarchy uniqueName="[Measures].[M13.Budżet YTD]" caption="M13.Budżet YTD" measure="1" displayFolder="" measureGroup="Budżet" count="0"/>
    <cacheHierarchy uniqueName="[Measures].[M14.Koszty YTD]" caption="M14.Koszty YTD" measure="1" displayFolder="" measureGroup="Koszty" count="0"/>
    <cacheHierarchy uniqueName="[Measures].[M15.Max Odchylenie MPK]" caption="M15.Max Odchylenie MPK" measure="1" displayFolder="" measureGroup="Budżet" count="0" oneField="1">
      <fieldsUsage count="1">
        <fieldUsage x="0"/>
      </fieldsUsage>
    </cacheHierarchy>
    <cacheHierarchy uniqueName="[Measures].[M16.Min Odchylenie MPK]" caption="M16.Min Odchylenie MPK" measure="1" displayFolder="" measureGroup="Budżet" count="0" oneField="1">
      <fieldsUsage count="1">
        <fieldUsage x="1"/>
      </fieldsUsage>
    </cacheHierarchy>
    <cacheHierarchy uniqueName="[Measures].[M17.Max Koszty Grupa]" caption="M17.Max Koszty Grupa" measure="1" displayFolder="" measureGroup="Budżet" count="0" oneField="1">
      <fieldsUsage count="1">
        <fieldUsage x="2"/>
      </fieldsUsage>
    </cacheHierarchy>
    <cacheHierarchy uniqueName="[Measures].[__XL_Count Budżet]" caption="__XL_Count Budżet" measure="1" displayFolder="" measureGroup="Budżet" count="0" hidden="1"/>
    <cacheHierarchy uniqueName="[Measures].[__XL_Count Koszty]" caption="__XL_Count Koszty" measure="1" displayFolder="" measureGroup="Koszty" count="0" hidden="1"/>
    <cacheHierarchy uniqueName="[Measures].[__XL_Count Plan kont]" caption="__XL_Count Plan kont" measure="1" displayFolder="" measureGroup="Plan kont" count="0" hidden="1"/>
    <cacheHierarchy uniqueName="[Measures].[__XL_Count Kalendarz]" caption="__XL_Count Kalendarz" measure="1" displayFolder="" measureGroup="Kalendarz" count="0" hidden="1"/>
    <cacheHierarchy uniqueName="[Measures].[__No measures defined]" caption="__No measures defined" measure="1" displayFolder="" count="0" hidden="1"/>
  </cacheHierarchies>
  <kpis count="0"/>
  <dimensions count="5">
    <dimension name="Budżet" uniqueName="[Budżet]" caption="Budżet"/>
    <dimension name="Kalendarz" uniqueName="[Kalendarz]" caption="Kalendarz"/>
    <dimension name="Koszty" uniqueName="[Koszty]" caption="Koszty"/>
    <dimension measure="1" name="Measures" uniqueName="[Measures]" caption="Measures"/>
    <dimension name="Plan kont" uniqueName="[Plan kont]" caption="Plan kont"/>
  </dimensions>
  <measureGroups count="4">
    <measureGroup name="Budżet" caption="Budżet"/>
    <measureGroup name="Kalendarz" caption="Kalendarz"/>
    <measureGroup name="Koszty" caption="Koszty"/>
    <measureGroup name="Plan kont" caption="Plan kont"/>
  </measureGroups>
  <maps count="8">
    <map measureGroup="0" dimension="0"/>
    <map measureGroup="0" dimension="1"/>
    <map measureGroup="0" dimension="4"/>
    <map measureGroup="1" dimension="1"/>
    <map measureGroup="2" dimension="1"/>
    <map measureGroup="2" dimension="2"/>
    <map measureGroup="2" dimension="4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Joanna Sulikowska" refreshedDate="46179.740118634261" backgroundQuery="1" createdVersion="3" refreshedVersion="8" minRefreshableVersion="3" recordCount="0" supportSubquery="1" supportAdvancedDrill="1" xr:uid="{A0F4D9D7-7349-4DFF-904D-05A43C58F319}">
  <cacheSource type="external" connectionId="1">
    <extLst>
      <ext xmlns:x14="http://schemas.microsoft.com/office/spreadsheetml/2009/9/main" uri="{F057638F-6D5F-4e77-A914-E7F072B9BCA8}">
        <x14:sourceConnection name="ThisWorkbookDataModel"/>
      </ext>
    </extLst>
  </cacheSource>
  <cacheFields count="0"/>
  <cacheHierarchies count="45">
    <cacheHierarchy uniqueName="[Budżet].[Konto]" caption="Konto" attribute="1" defaultMemberUniqueName="[Budżet].[Konto].[All]" allUniqueName="[Budżet].[Konto].[All]" dimensionUniqueName="[Budżet]" displayFolder="" count="0" memberValueDatatype="20" unbalanced="0"/>
    <cacheHierarchy uniqueName="[Budżet].[Data]" caption="Data" attribute="1" time="1" defaultMemberUniqueName="[Budżet].[Data].[All]" allUniqueName="[Budżet].[Data].[All]" dimensionUniqueName="[Budżet]" displayFolder="" count="0" memberValueDatatype="7" unbalanced="0"/>
    <cacheHierarchy uniqueName="[Budżet].[Budżet]" caption="Budżet" attribute="1" defaultMemberUniqueName="[Budżet].[Budżet].[All]" allUniqueName="[Budżet].[Budżet].[All]" dimensionUniqueName="[Budżet]" displayFolder="" count="0" memberValueDatatype="5" unbalanced="0"/>
    <cacheHierarchy uniqueName="[Kalendarz].[Data]" caption="Data" attribute="1" time="1" keyAttribute="1" defaultMemberUniqueName="[Kalendarz].[Data].[All]" allUniqueName="[Kalendarz].[Data].[All]" dimensionUniqueName="[Kalendarz]" displayFolder="" count="0" memberValueDatatype="7" unbalanced="0"/>
    <cacheHierarchy uniqueName="[Kalendarz].[Rok]" caption="Rok" attribute="1" time="1" defaultMemberUniqueName="[Kalendarz].[Rok].[All]" allUniqueName="[Kalendarz].[Rok].[All]" dimensionUniqueName="[Kalendarz]" displayFolder="" count="0" memberValueDatatype="20" unbalanced="0"/>
    <cacheHierarchy uniqueName="[Kalendarz].[Hierarchia Rok Miesiąc]" caption="Hierarchia Rok Miesiąc" time="1" defaultMemberUniqueName="[Kalendarz].[Hierarchia Rok Miesiąc].[All]" allUniqueName="[Kalendarz].[Hierarchia Rok Miesiąc].[All]" dimensionUniqueName="[Kalendarz]" displayFolder="" count="0" unbalanced="0"/>
    <cacheHierarchy uniqueName="[Kalendarz].[MiesiacNr]" caption="MiesiacNr" attribute="1" time="1" defaultMemberUniqueName="[Kalendarz].[MiesiacNr].[All]" allUniqueName="[Kalendarz].[MiesiacNr].[All]" dimensionUniqueName="[Kalendarz]" displayFolder="" count="0" memberValueDatatype="20" unbalanced="0"/>
    <cacheHierarchy uniqueName="[Kalendarz].[Miesiac]" caption="Miesiac" attribute="1" time="1" defaultMemberUniqueName="[Kalendarz].[Miesiac].[All]" allUniqueName="[Kalendarz].[Miesiac].[All]" dimensionUniqueName="[Kalendarz]" displayFolder="" count="0" memberValueDatatype="130" unbalanced="0"/>
    <cacheHierarchy uniqueName="[Kalendarz].[Kwartał]" caption="Kwartał" attribute="1" time="1" defaultMemberUniqueName="[Kalendarz].[Kwartał].[All]" allUniqueName="[Kalendarz].[Kwartał].[All]" dimensionUniqueName="[Kalendarz]" displayFolder="" count="0" memberValueDatatype="130" unbalanced="0"/>
    <cacheHierarchy uniqueName="[Kalendarz].[DzienTygodnia]" caption="DzienTygodnia" attribute="1" time="1" defaultMemberUniqueName="[Kalendarz].[DzienTygodnia].[All]" allUniqueName="[Kalendarz].[DzienTygodnia].[All]" dimensionUniqueName="[Kalendarz]" displayFolder="" count="0" memberValueDatatype="130" unbalanced="0"/>
    <cacheHierarchy uniqueName="[Kalendarz].[Rok-Miesiąc]" caption="Rok-Miesiąc" attribute="1" time="1" defaultMemberUniqueName="[Kalendarz].[Rok-Miesiąc].[All]" allUniqueName="[Kalendarz].[Rok-Miesiąc].[All]" dimensionUniqueName="[Kalendarz]" displayFolder="" count="0" memberValueDatatype="130" unbalanced="0"/>
    <cacheHierarchy uniqueName="[Koszty].[Konto]" caption="Konto" attribute="1" defaultMemberUniqueName="[Koszty].[Konto].[All]" allUniqueName="[Koszty].[Konto].[All]" dimensionUniqueName="[Koszty]" displayFolder="" count="0" memberValueDatatype="20" unbalanced="0"/>
    <cacheHierarchy uniqueName="[Koszty].[Data]" caption="Data" attribute="1" time="1" defaultMemberUniqueName="[Koszty].[Data].[All]" allUniqueName="[Koszty].[Data].[All]" dimensionUniqueName="[Koszty]" displayFolder="" count="0" memberValueDatatype="7" unbalanced="0"/>
    <cacheHierarchy uniqueName="[Koszty].[Koszt]" caption="Koszt" attribute="1" defaultMemberUniqueName="[Koszty].[Koszt].[All]" allUniqueName="[Koszty].[Koszt].[All]" dimensionUniqueName="[Koszty]" displayFolder="" count="0" memberValueDatatype="5" unbalanced="0"/>
    <cacheHierarchy uniqueName="[Plan kont].[Konto]" caption="Konto" attribute="1" defaultMemberUniqueName="[Plan kont].[Konto].[All]" allUniqueName="[Plan kont].[Konto].[All]" dimensionUniqueName="[Plan kont]" displayFolder="" count="0" memberValueDatatype="20" unbalanced="0"/>
    <cacheHierarchy uniqueName="[Plan kont].[Analityka]" caption="Analityka" attribute="1" defaultMemberUniqueName="[Plan kont].[Analityka].[All]" allUniqueName="[Plan kont].[Analityka].[All]" dimensionUniqueName="[Plan kont]" displayFolder="" count="0" memberValueDatatype="20" unbalanced="0"/>
    <cacheHierarchy uniqueName="[Plan kont].[MPK]" caption="MPK" attribute="1" defaultMemberUniqueName="[Plan kont].[MPK].[All]" allUniqueName="[Plan kont].[MPK].[All]" dimensionUniqueName="[Plan kont]" displayFolder="" count="2" memberValueDatatype="130" unbalanced="0"/>
    <cacheHierarchy uniqueName="[Plan kont].[Grupa kosztowa]" caption="Grupa kosztowa" attribute="1" defaultMemberUniqueName="[Plan kont].[Grupa kosztowa].[All]" allUniqueName="[Plan kont].[Grupa kosztowa].[All]" dimensionUniqueName="[Plan kont]" displayFolder="" count="2" memberValueDatatype="130" unbalanced="0"/>
    <cacheHierarchy uniqueName="[Plan kont].[Pozycja kosztowa]" caption="Pozycja kosztowa" attribute="1" defaultMemberUniqueName="[Plan kont].[Pozycja kosztowa].[All]" allUniqueName="[Plan kont].[Pozycja kosztowa].[All]" dimensionUniqueName="[Plan kont]" displayFolder="" count="0" memberValueDatatype="130" unbalanced="0"/>
    <cacheHierarchy uniqueName="[Plan kont].[Dysponent]" caption="Dysponent" attribute="1" defaultMemberUniqueName="[Plan kont].[Dysponent].[All]" allUniqueName="[Plan kont].[Dysponent].[All]" dimensionUniqueName="[Plan kont]" displayFolder="" count="2" memberValueDatatype="130" unbalanced="0"/>
    <cacheHierarchy uniqueName="[Measures].[Suma Analityka]" caption="Suma Analityka" measure="1" displayFolder="" measureGroup="Plan kont" count="0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a Konto]" caption="Suma Konto" measure="1" displayFolder="" measureGroup="Budżet" count="0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Liczba MPK]" caption="Liczba MPK" measure="1" displayFolder="" measureGroup="Plan kont" count="0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M01.Koszty]" caption="M01.Koszty" measure="1" displayFolder="" measureGroup="Koszty" count="0"/>
    <cacheHierarchy uniqueName="[Measures].[M02.Budżet]" caption="M02.Budżet" measure="1" displayFolder="" measureGroup="Budżet" count="0"/>
    <cacheHierarchy uniqueName="[Measures].[M03.Odchylenie]" caption="M03.Odchylenie" measure="1" displayFolder="" measureGroup="Budżet" count="0"/>
    <cacheHierarchy uniqueName="[Measures].[M04.Realizacja%]" caption="M04.Realizacja%" measure="1" displayFolder="" measureGroup="Budżet" count="0"/>
    <cacheHierarchy uniqueName="[Measures].[M05.Koszty 2026]" caption="M05.Koszty 2026" measure="1" displayFolder="" measureGroup="Koszty" count="0"/>
    <cacheHierarchy uniqueName="[Measures].[M06.Budżet 2026]" caption="M06.Budżet 2026" measure="1" displayFolder="" measureGroup="Budżet" count="0"/>
    <cacheHierarchy uniqueName="[Measures].[M07.Odchylenie 2026]" caption="M07.Odchylenie 2026" measure="1" displayFolder="" measureGroup="Budżet" count="0"/>
    <cacheHierarchy uniqueName="[Measures].[M08.Realizacja 2026]" caption="M08.Realizacja 2026" measure="1" displayFolder="" measureGroup="Budżet" count="0"/>
    <cacheHierarchy uniqueName="[Measures].[M09.Koszty 2025]" caption="M09.Koszty 2025" measure="1" displayFolder="" measureGroup="Koszty" count="0"/>
    <cacheHierarchy uniqueName="[Measures].[M10.Koszty YoY]" caption="M10.Koszty YoY" measure="1" displayFolder="" measureGroup="Koszty" count="0"/>
    <cacheHierarchy uniqueName="[Measures].[M11.Odchylenie2026%]" caption="M11.Odchylenie2026%" measure="1" displayFolder="" measureGroup="Budżet" count="0"/>
    <cacheHierarchy uniqueName="[Measures].[M12.Odchylenie%Koszty]" caption="M12.Odchylenie%Koszty" measure="1" displayFolder="" measureGroup="Koszty" count="0"/>
    <cacheHierarchy uniqueName="[Measures].[M13.Budżet YTD]" caption="M13.Budżet YTD" measure="1" displayFolder="" measureGroup="Budżet" count="0"/>
    <cacheHierarchy uniqueName="[Measures].[M14.Koszty YTD]" caption="M14.Koszty YTD" measure="1" displayFolder="" measureGroup="Koszty" count="0"/>
    <cacheHierarchy uniqueName="[Measures].[M15.Max Odchylenie MPK]" caption="M15.Max Odchylenie MPK" measure="1" displayFolder="" measureGroup="Budżet" count="0"/>
    <cacheHierarchy uniqueName="[Measures].[M16.Min Odchylenie MPK]" caption="M16.Min Odchylenie MPK" measure="1" displayFolder="" measureGroup="Budżet" count="0"/>
    <cacheHierarchy uniqueName="[Measures].[M17.Max Koszty Grupa]" caption="M17.Max Koszty Grupa" measure="1" displayFolder="" measureGroup="Budżet" count="0"/>
    <cacheHierarchy uniqueName="[Measures].[__XL_Count Budżet]" caption="__XL_Count Budżet" measure="1" displayFolder="" measureGroup="Budżet" count="0" hidden="1"/>
    <cacheHierarchy uniqueName="[Measures].[__XL_Count Koszty]" caption="__XL_Count Koszty" measure="1" displayFolder="" measureGroup="Koszty" count="0" hidden="1"/>
    <cacheHierarchy uniqueName="[Measures].[__XL_Count Plan kont]" caption="__XL_Count Plan kont" measure="1" displayFolder="" measureGroup="Plan kont" count="0" hidden="1"/>
    <cacheHierarchy uniqueName="[Measures].[__XL_Count Kalendarz]" caption="__XL_Count Kalendarz" measure="1" displayFolder="" measureGroup="Kalendarz" count="0" hidden="1"/>
    <cacheHierarchy uniqueName="[Measures].[__No measures defined]" caption="__No measures defined" measure="1" displayFolder="" count="0" hidden="1"/>
  </cacheHierarchies>
  <kpis count="0"/>
  <extLst>
    <ext xmlns:x14="http://schemas.microsoft.com/office/spreadsheetml/2009/9/main" uri="{725AE2AE-9491-48be-B2B4-4EB974FC3084}">
      <x14:pivotCacheDefinition slicerData="1" pivotCacheId="355793859" supportSubqueryNonVisual="1" supportSubqueryCalcMem="1" supportAddCalcMems="1"/>
    </ext>
  </extLst>
</pivotCacheDefinition>
</file>

<file path=xl/pivotCache/pivotCacheDefinition1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Joanna Sulikowska" refreshedDate="46179.740119097223" backgroundQuery="1" createdVersion="3" refreshedVersion="8" minRefreshableVersion="3" recordCount="0" supportSubquery="1" supportAdvancedDrill="1" xr:uid="{0161A389-1EAE-4DA3-ADD3-1EBFAD02F266}">
  <cacheSource type="external" connectionId="1">
    <extLst>
      <ext xmlns:x14="http://schemas.microsoft.com/office/spreadsheetml/2009/9/main" uri="{F057638F-6D5F-4e77-A914-E7F072B9BCA8}">
        <x14:sourceConnection name="ThisWorkbookDataModel"/>
      </ext>
    </extLst>
  </cacheSource>
  <cacheFields count="0"/>
  <cacheHierarchies count="45">
    <cacheHierarchy uniqueName="[Budżet].[Konto]" caption="Konto" attribute="1" defaultMemberUniqueName="[Budżet].[Konto].[All]" allUniqueName="[Budżet].[Konto].[All]" dimensionUniqueName="[Budżet]" displayFolder="" count="0" memberValueDatatype="20" unbalanced="0"/>
    <cacheHierarchy uniqueName="[Budżet].[Data]" caption="Data" attribute="1" time="1" defaultMemberUniqueName="[Budżet].[Data].[All]" allUniqueName="[Budżet].[Data].[All]" dimensionUniqueName="[Budżet]" displayFolder="" count="0" memberValueDatatype="7" unbalanced="0"/>
    <cacheHierarchy uniqueName="[Budżet].[Budżet]" caption="Budżet" attribute="1" defaultMemberUniqueName="[Budżet].[Budżet].[All]" allUniqueName="[Budżet].[Budżet].[All]" dimensionUniqueName="[Budżet]" displayFolder="" count="0" memberValueDatatype="5" unbalanced="0"/>
    <cacheHierarchy uniqueName="[Kalendarz].[Data]" caption="Data" attribute="1" time="1" keyAttribute="1" defaultMemberUniqueName="[Kalendarz].[Data].[All]" allUniqueName="[Kalendarz].[Data].[All]" dimensionUniqueName="[Kalendarz]" displayFolder="" count="2" memberValueDatatype="7" unbalanced="0"/>
    <cacheHierarchy uniqueName="[Kalendarz].[Rok]" caption="Rok" attribute="1" time="1" defaultMemberUniqueName="[Kalendarz].[Rok].[All]" allUniqueName="[Kalendarz].[Rok].[All]" dimensionUniqueName="[Kalendarz]" displayFolder="" count="0" memberValueDatatype="20" unbalanced="0"/>
    <cacheHierarchy uniqueName="[Kalendarz].[Hierarchia Rok Miesiąc]" caption="Hierarchia Rok Miesiąc" time="1" defaultMemberUniqueName="[Kalendarz].[Hierarchia Rok Miesiąc].[All]" allUniqueName="[Kalendarz].[Hierarchia Rok Miesiąc].[All]" dimensionUniqueName="[Kalendarz]" displayFolder="" count="0" unbalanced="0"/>
    <cacheHierarchy uniqueName="[Kalendarz].[MiesiacNr]" caption="MiesiacNr" attribute="1" time="1" defaultMemberUniqueName="[Kalendarz].[MiesiacNr].[All]" allUniqueName="[Kalendarz].[MiesiacNr].[All]" dimensionUniqueName="[Kalendarz]" displayFolder="" count="0" memberValueDatatype="20" unbalanced="0"/>
    <cacheHierarchy uniqueName="[Kalendarz].[Miesiac]" caption="Miesiac" attribute="1" time="1" defaultMemberUniqueName="[Kalendarz].[Miesiac].[All]" allUniqueName="[Kalendarz].[Miesiac].[All]" dimensionUniqueName="[Kalendarz]" displayFolder="" count="0" memberValueDatatype="130" unbalanced="0"/>
    <cacheHierarchy uniqueName="[Kalendarz].[Kwartał]" caption="Kwartał" attribute="1" time="1" defaultMemberUniqueName="[Kalendarz].[Kwartał].[All]" allUniqueName="[Kalendarz].[Kwartał].[All]" dimensionUniqueName="[Kalendarz]" displayFolder="" count="0" memberValueDatatype="130" unbalanced="0"/>
    <cacheHierarchy uniqueName="[Kalendarz].[DzienTygodnia]" caption="DzienTygodnia" attribute="1" time="1" defaultMemberUniqueName="[Kalendarz].[DzienTygodnia].[All]" allUniqueName="[Kalendarz].[DzienTygodnia].[All]" dimensionUniqueName="[Kalendarz]" displayFolder="" count="0" memberValueDatatype="130" unbalanced="0"/>
    <cacheHierarchy uniqueName="[Kalendarz].[Rok-Miesiąc]" caption="Rok-Miesiąc" attribute="1" time="1" defaultMemberUniqueName="[Kalendarz].[Rok-Miesiąc].[All]" allUniqueName="[Kalendarz].[Rok-Miesiąc].[All]" dimensionUniqueName="[Kalendarz]" displayFolder="" count="0" memberValueDatatype="130" unbalanced="0"/>
    <cacheHierarchy uniqueName="[Koszty].[Konto]" caption="Konto" attribute="1" defaultMemberUniqueName="[Koszty].[Konto].[All]" allUniqueName="[Koszty].[Konto].[All]" dimensionUniqueName="[Koszty]" displayFolder="" count="0" memberValueDatatype="20" unbalanced="0"/>
    <cacheHierarchy uniqueName="[Koszty].[Data]" caption="Data" attribute="1" time="1" defaultMemberUniqueName="[Koszty].[Data].[All]" allUniqueName="[Koszty].[Data].[All]" dimensionUniqueName="[Koszty]" displayFolder="" count="0" memberValueDatatype="7" unbalanced="0"/>
    <cacheHierarchy uniqueName="[Koszty].[Koszt]" caption="Koszt" attribute="1" defaultMemberUniqueName="[Koszty].[Koszt].[All]" allUniqueName="[Koszty].[Koszt].[All]" dimensionUniqueName="[Koszty]" displayFolder="" count="0" memberValueDatatype="5" unbalanced="0"/>
    <cacheHierarchy uniqueName="[Plan kont].[Konto]" caption="Konto" attribute="1" defaultMemberUniqueName="[Plan kont].[Konto].[All]" allUniqueName="[Plan kont].[Konto].[All]" dimensionUniqueName="[Plan kont]" displayFolder="" count="0" memberValueDatatype="20" unbalanced="0"/>
    <cacheHierarchy uniqueName="[Plan kont].[Analityka]" caption="Analityka" attribute="1" defaultMemberUniqueName="[Plan kont].[Analityka].[All]" allUniqueName="[Plan kont].[Analityka].[All]" dimensionUniqueName="[Plan kont]" displayFolder="" count="0" memberValueDatatype="20" unbalanced="0"/>
    <cacheHierarchy uniqueName="[Plan kont].[MPK]" caption="MPK" attribute="1" defaultMemberUniqueName="[Plan kont].[MPK].[All]" allUniqueName="[Plan kont].[MPK].[All]" dimensionUniqueName="[Plan kont]" displayFolder="" count="0" memberValueDatatype="130" unbalanced="0"/>
    <cacheHierarchy uniqueName="[Plan kont].[Grupa kosztowa]" caption="Grupa kosztowa" attribute="1" defaultMemberUniqueName="[Plan kont].[Grupa kosztowa].[All]" allUniqueName="[Plan kont].[Grupa kosztowa].[All]" dimensionUniqueName="[Plan kont]" displayFolder="" count="0" memberValueDatatype="130" unbalanced="0"/>
    <cacheHierarchy uniqueName="[Plan kont].[Pozycja kosztowa]" caption="Pozycja kosztowa" attribute="1" defaultMemberUniqueName="[Plan kont].[Pozycja kosztowa].[All]" allUniqueName="[Plan kont].[Pozycja kosztowa].[All]" dimensionUniqueName="[Plan kont]" displayFolder="" count="0" memberValueDatatype="130" unbalanced="0"/>
    <cacheHierarchy uniqueName="[Plan kont].[Dysponent]" caption="Dysponent" attribute="1" defaultMemberUniqueName="[Plan kont].[Dysponent].[All]" allUniqueName="[Plan kont].[Dysponent].[All]" dimensionUniqueName="[Plan kont]" displayFolder="" count="0" memberValueDatatype="130" unbalanced="0"/>
    <cacheHierarchy uniqueName="[Measures].[Suma Analityka]" caption="Suma Analityka" measure="1" displayFolder="" measureGroup="Plan kont" count="0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a Konto]" caption="Suma Konto" measure="1" displayFolder="" measureGroup="Budżet" count="0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Liczba MPK]" caption="Liczba MPK" measure="1" displayFolder="" measureGroup="Plan kont" count="0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M01.Koszty]" caption="M01.Koszty" measure="1" displayFolder="" measureGroup="Koszty" count="0"/>
    <cacheHierarchy uniqueName="[Measures].[M02.Budżet]" caption="M02.Budżet" measure="1" displayFolder="" measureGroup="Budżet" count="0"/>
    <cacheHierarchy uniqueName="[Measures].[M03.Odchylenie]" caption="M03.Odchylenie" measure="1" displayFolder="" measureGroup="Budżet" count="0"/>
    <cacheHierarchy uniqueName="[Measures].[M04.Realizacja%]" caption="M04.Realizacja%" measure="1" displayFolder="" measureGroup="Budżet" count="0"/>
    <cacheHierarchy uniqueName="[Measures].[M05.Koszty 2026]" caption="M05.Koszty 2026" measure="1" displayFolder="" measureGroup="Koszty" count="0"/>
    <cacheHierarchy uniqueName="[Measures].[M06.Budżet 2026]" caption="M06.Budżet 2026" measure="1" displayFolder="" measureGroup="Budżet" count="0"/>
    <cacheHierarchy uniqueName="[Measures].[M07.Odchylenie 2026]" caption="M07.Odchylenie 2026" measure="1" displayFolder="" measureGroup="Budżet" count="0"/>
    <cacheHierarchy uniqueName="[Measures].[M08.Realizacja 2026]" caption="M08.Realizacja 2026" measure="1" displayFolder="" measureGroup="Budżet" count="0"/>
    <cacheHierarchy uniqueName="[Measures].[M09.Koszty 2025]" caption="M09.Koszty 2025" measure="1" displayFolder="" measureGroup="Koszty" count="0"/>
    <cacheHierarchy uniqueName="[Measures].[M10.Koszty YoY]" caption="M10.Koszty YoY" measure="1" displayFolder="" measureGroup="Koszty" count="0"/>
    <cacheHierarchy uniqueName="[Measures].[M11.Odchylenie2026%]" caption="M11.Odchylenie2026%" measure="1" displayFolder="" measureGroup="Budżet" count="0"/>
    <cacheHierarchy uniqueName="[Measures].[M12.Odchylenie%Koszty]" caption="M12.Odchylenie%Koszty" measure="1" displayFolder="" measureGroup="Koszty" count="0"/>
    <cacheHierarchy uniqueName="[Measures].[M13.Budżet YTD]" caption="M13.Budżet YTD" measure="1" displayFolder="" measureGroup="Budżet" count="0"/>
    <cacheHierarchy uniqueName="[Measures].[M14.Koszty YTD]" caption="M14.Koszty YTD" measure="1" displayFolder="" measureGroup="Koszty" count="0"/>
    <cacheHierarchy uniqueName="[Measures].[M15.Max Odchylenie MPK]" caption="M15.Max Odchylenie MPK" measure="1" displayFolder="" measureGroup="Budżet" count="0"/>
    <cacheHierarchy uniqueName="[Measures].[M16.Min Odchylenie MPK]" caption="M16.Min Odchylenie MPK" measure="1" displayFolder="" measureGroup="Budżet" count="0"/>
    <cacheHierarchy uniqueName="[Measures].[M17.Max Koszty Grupa]" caption="M17.Max Koszty Grupa" measure="1" displayFolder="" measureGroup="Budżet" count="0"/>
    <cacheHierarchy uniqueName="[Measures].[__XL_Count Budżet]" caption="__XL_Count Budżet" measure="1" displayFolder="" measureGroup="Budżet" count="0" hidden="1"/>
    <cacheHierarchy uniqueName="[Measures].[__XL_Count Koszty]" caption="__XL_Count Koszty" measure="1" displayFolder="" measureGroup="Koszty" count="0" hidden="1"/>
    <cacheHierarchy uniqueName="[Measures].[__XL_Count Plan kont]" caption="__XL_Count Plan kont" measure="1" displayFolder="" measureGroup="Plan kont" count="0" hidden="1"/>
    <cacheHierarchy uniqueName="[Measures].[__XL_Count Kalendarz]" caption="__XL_Count Kalendarz" measure="1" displayFolder="" measureGroup="Kalendarz" count="0" hidden="1"/>
    <cacheHierarchy uniqueName="[Measures].[__No measures defined]" caption="__No measures defined" measure="1" displayFolder="" count="0" hidden="1"/>
  </cacheHierarchies>
  <kpis count="0"/>
  <extLst>
    <ext xmlns:x14="http://schemas.microsoft.com/office/spreadsheetml/2009/9/main" uri="{725AE2AE-9491-48be-B2B4-4EB974FC3084}">
      <x14:pivotCacheDefinition pivotCacheId="474557165" supportSubqueryNonVisual="1" supportSubqueryCalcMem="1" supportAddCalcMems="1"/>
    </ext>
    <ext xmlns:x15="http://schemas.microsoft.com/office/spreadsheetml/2010/11/main" uri="{ABF5C744-AB39-4b91-8756-CFA1BBC848D5}">
      <x15:pivotCacheIdVersion cacheIdSupportedVersion="6" cacheIdCreatedVersion="7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4607015-638B-42A4-AA81-E5645D75AB59}" name="Tabela przestawna1" cacheId="0" applyNumberFormats="0" applyBorderFormats="0" applyFontFormats="0" applyPatternFormats="0" applyAlignmentFormats="0" applyWidthHeightFormats="1" dataCaption="Wartości" tag="bc81aeb3-0648-4e79-aefe-016449543150" updatedVersion="8" minRefreshableVersion="5" subtotalHiddenItems="1" itemPrintTitles="1" createdVersion="8" indent="0" outline="1" outlineData="1" multipleFieldFilters="0" chartFormat="2" rowHeaderCaption="MPK">
  <location ref="B41:J55" firstHeaderRow="0" firstDataRow="1" firstDataCol="1"/>
  <pivotFields count="9">
    <pivotField dataField="1" subtotalTop="0" showAll="0" defaultSubtotal="0"/>
    <pivotField dataField="1" subtotalTop="0" showAll="0" defaultSubtotal="0"/>
    <pivotField dataField="1" subtotalTop="0" showAll="0" defaultSubtotal="0"/>
    <pivotField axis="axisRow" allDrilled="1" subtotalTop="0" showAll="0" sortType="descending" defaultSubtotal="0" defaultAttributeDrillState="1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</items>
      <autoSortScope>
        <pivotArea dataOnly="0" outline="0" fieldPosition="0">
          <references count="1">
            <reference field="4294967294" count="1" selected="0">
              <x v="3"/>
            </reference>
          </references>
        </pivotArea>
      </autoSortScope>
    </pivotField>
    <pivotField dataField="1" subtotalTop="0" showAll="0" defaultSubtotal="0"/>
    <pivotField dataField="1" subtotalTop="0" showAll="0" defaultSubtotal="0"/>
    <pivotField dataField="1" compact="0" outline="0" subtotalTop="0" dragToRow="0" dragToCol="0" dragToPage="0" dragToData="0" dragOff="0" showAll="0" topAutoShow="0" includeNewItemsInFilter="1" itemPageCount="0" rankBy="0" defaultSubtotal="0">
      <extLst>
        <ext xmlns:x14="http://schemas.microsoft.com/office/spreadsheetml/2009/9/main" uri="{2946ED86-A175-432a-8AC1-64E0C546D7DE}">
          <x14:pivotField ignore="1"/>
        </ext>
      </extLst>
    </pivotField>
    <pivotField dataField="1" compact="0" outline="0" subtotalTop="0" dragToRow="0" dragToCol="0" dragToPage="0" dragToData="0" dragOff="0" showAll="0" topAutoShow="0" includeNewItemsInFilter="1" itemPageCount="0" rankBy="0" defaultSubtotal="0">
      <extLst>
        <ext xmlns:x14="http://schemas.microsoft.com/office/spreadsheetml/2009/9/main" uri="{2946ED86-A175-432a-8AC1-64E0C546D7DE}">
          <x14:pivotField ignore="1"/>
        </ext>
      </extLst>
    </pivotField>
    <pivotField dataField="1" compact="0" outline="0" subtotalTop="0" dragToRow="0" dragToCol="0" dragToPage="0" dragToData="0" dragOff="0" showAll="0" topAutoShow="0" includeNewItemsInFilter="1" itemPageCount="0" rankBy="0" defaultSubtotal="0">
      <extLst>
        <ext xmlns:x14="http://schemas.microsoft.com/office/spreadsheetml/2009/9/main" uri="{2946ED86-A175-432a-8AC1-64E0C546D7DE}">
          <x14:pivotField ignore="1"/>
        </ext>
      </extLst>
    </pivotField>
  </pivotFields>
  <rowFields count="1">
    <field x="3"/>
  </rowFields>
  <rowItems count="14">
    <i>
      <x v="11"/>
    </i>
    <i>
      <x v="12"/>
    </i>
    <i>
      <x v="4"/>
    </i>
    <i>
      <x v="3"/>
    </i>
    <i>
      <x v="6"/>
    </i>
    <i>
      <x v="9"/>
    </i>
    <i>
      <x v="7"/>
    </i>
    <i>
      <x/>
    </i>
    <i>
      <x v="8"/>
    </i>
    <i>
      <x v="10"/>
    </i>
    <i>
      <x v="5"/>
    </i>
    <i>
      <x v="1"/>
    </i>
    <i>
      <x v="2"/>
    </i>
    <i t="grand">
      <x/>
    </i>
  </rowItems>
  <colFields count="1">
    <field x="-2"/>
  </colFields>
  <colItems count="8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</colItems>
  <dataFields count="8">
    <dataField name="Koszty 2026" fld="0" subtotal="count" baseField="3" baseItem="0"/>
    <dataField name="Budżet 2026" fld="1" subtotal="count" baseField="3" baseItem="0"/>
    <dataField name="Odchylenie wartościowe" fld="2" subtotal="count" baseField="3" baseItem="0"/>
    <dataField name="Odchylenie procentowe" fld="4" subtotal="count" baseField="3" baseItem="0">
      <extLst>
        <ext xmlns:x14="http://schemas.microsoft.com/office/spreadsheetml/2009/9/main" uri="{E15A36E0-9728-4e99-A89B-3F7291B0FE68}">
          <x14:dataField sourceField="4" uniqueName="[__Xl2].[Measures].[M11.Odchylenie%]"/>
        </ext>
      </extLst>
    </dataField>
    <dataField name="Alert1" fld="6" subtotal="count" baseField="3" baseItem="0">
      <extLst>
        <ext xmlns:x14="http://schemas.microsoft.com/office/spreadsheetml/2009/9/main" uri="{E15A36E0-9728-4e99-A89B-3F7291B0FE68}">
          <x14:dataField sourceField="4" uniqueName="[__Xl3].[Measures].[M11.Odchylenie2026%]"/>
        </ext>
      </extLst>
    </dataField>
    <dataField name="Wykres odchyl. proc." fld="7" subtotal="count" baseField="3" baseItem="0">
      <extLst>
        <ext xmlns:x14="http://schemas.microsoft.com/office/spreadsheetml/2009/9/main" uri="{E15A36E0-9728-4e99-A89B-3F7291B0FE68}">
          <x14:dataField sourceField="4"/>
        </ext>
      </extLst>
    </dataField>
    <dataField name="Alert2" fld="8" subtotal="count" baseField="3" baseItem="0">
      <extLst>
        <ext xmlns:x14="http://schemas.microsoft.com/office/spreadsheetml/2009/9/main" uri="{E15A36E0-9728-4e99-A89B-3F7291B0FE68}">
          <x14:dataField sourceField="4" uniqueName="[__Xl2].[Measures].[M11.Odchylenie2026%]"/>
        </ext>
      </extLst>
    </dataField>
    <dataField fld="5" subtotal="count" baseField="0" baseItem="0"/>
  </dataFields>
  <formats count="20">
    <format dxfId="27">
      <pivotArea type="all" dataOnly="0" outline="0" fieldPosition="0"/>
    </format>
    <format dxfId="26">
      <pivotArea outline="0" collapsedLevelsAreSubtotals="1" fieldPosition="0"/>
    </format>
    <format dxfId="25">
      <pivotArea field="3" type="button" dataOnly="0" labelOnly="1" outline="0" axis="axisRow" fieldPosition="0"/>
    </format>
    <format dxfId="24">
      <pivotArea dataOnly="0" labelOnly="1" fieldPosition="0">
        <references count="1">
          <reference field="3" count="0"/>
        </references>
      </pivotArea>
    </format>
    <format dxfId="23">
      <pivotArea dataOnly="0" labelOnly="1" grandRow="1" outline="0" fieldPosition="0"/>
    </format>
    <format dxfId="22">
      <pivotArea dataOnly="0" labelOnly="1" outline="0" fieldPosition="0">
        <references count="1">
          <reference field="4294967294" count="8">
            <x v="0"/>
            <x v="1"/>
            <x v="2"/>
            <x v="3"/>
            <x v="4"/>
            <x v="5"/>
            <x v="6"/>
            <x v="7"/>
          </reference>
        </references>
      </pivotArea>
    </format>
    <format dxfId="21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20">
      <pivotArea dataOnly="0" labelOnly="1" outline="0" fieldPosition="0">
        <references count="1">
          <reference field="4294967294" count="1">
            <x v="3"/>
          </reference>
        </references>
      </pivotArea>
    </format>
    <format dxfId="19">
      <pivotArea type="all" dataOnly="0" outline="0" fieldPosition="0"/>
    </format>
    <format dxfId="18">
      <pivotArea outline="0" collapsedLevelsAreSubtotals="1" fieldPosition="0"/>
    </format>
    <format dxfId="17">
      <pivotArea field="3" type="button" dataOnly="0" labelOnly="1" outline="0" axis="axisRow" fieldPosition="0"/>
    </format>
    <format dxfId="16">
      <pivotArea dataOnly="0" labelOnly="1" fieldPosition="0">
        <references count="1">
          <reference field="3" count="0"/>
        </references>
      </pivotArea>
    </format>
    <format dxfId="15">
      <pivotArea dataOnly="0" labelOnly="1" grandRow="1" outline="0" fieldPosition="0"/>
    </format>
    <format dxfId="14">
      <pivotArea dataOnly="0" labelOnly="1" outline="0" fieldPosition="0">
        <references count="1">
          <reference field="4294967294" count="8">
            <x v="0"/>
            <x v="1"/>
            <x v="2"/>
            <x v="3"/>
            <x v="4"/>
            <x v="5"/>
            <x v="6"/>
            <x v="7"/>
          </reference>
        </references>
      </pivotArea>
    </format>
    <format dxfId="13">
      <pivotArea type="all" dataOnly="0" outline="0" fieldPosition="0"/>
    </format>
    <format dxfId="12">
      <pivotArea outline="0" collapsedLevelsAreSubtotals="1" fieldPosition="0"/>
    </format>
    <format dxfId="11">
      <pivotArea field="3" type="button" dataOnly="0" labelOnly="1" outline="0" axis="axisRow" fieldPosition="0"/>
    </format>
    <format dxfId="10">
      <pivotArea dataOnly="0" labelOnly="1" fieldPosition="0">
        <references count="1">
          <reference field="3" count="0"/>
        </references>
      </pivotArea>
    </format>
    <format dxfId="9">
      <pivotArea dataOnly="0" labelOnly="1" grandRow="1" outline="0" fieldPosition="0"/>
    </format>
    <format dxfId="8">
      <pivotArea dataOnly="0" labelOnly="1" outline="0" fieldPosition="0">
        <references count="1">
          <reference field="4294967294" count="8">
            <x v="0"/>
            <x v="1"/>
            <x v="2"/>
            <x v="3"/>
            <x v="4"/>
            <x v="5"/>
            <x v="6"/>
            <x v="7"/>
          </reference>
        </references>
      </pivotArea>
    </format>
  </formats>
  <conditionalFormats count="1">
    <conditionalFormat priority="15">
      <pivotAreas count="1">
        <pivotArea type="data" collapsedLevelsAreSubtotals="1" fieldPosition="0">
          <references count="2">
            <reference field="4294967294" count="1" selected="0">
              <x v="5"/>
            </reference>
            <reference field="3" count="13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</reference>
          </references>
        </pivotArea>
      </pivotAreas>
    </conditionalFormat>
  </conditionalFormats>
  <pivotHierarchies count="48">
    <pivotHierarchy dragToData="1"/>
    <pivotHierarchy dragToData="1"/>
    <pivotHierarchy dragToData="1"/>
    <pivotHierarchy dragToData="1"/>
    <pivotHierarchy dragToData="1"/>
    <pivotHierarchy multipleItemSelectionAllowed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multipleItemSelectionAllowed="1" dragToData="1"/>
    <pivotHierarchy dragToData="1"/>
    <pivotHierarchy multipleItemSelectionAllowed="1"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 caption="Koszty 2026"/>
    <pivotHierarchy dragToRow="0" dragToCol="0" dragToPage="0" dragToData="1" caption="Budżet 2026"/>
    <pivotHierarchy dragToRow="0" dragToCol="0" dragToPage="0" dragToData="1" caption="Odchylenie wartościowe"/>
    <pivotHierarchy dragToRow="0" dragToCol="0" dragToPage="0" dragToData="1" caption="Realizacja"/>
    <pivotHierarchy dragToRow="0" dragToCol="0" dragToPage="0" dragToData="1"/>
    <pivotHierarchy dragToRow="0" dragToCol="0" dragToPage="0" dragToData="1"/>
    <pivotHierarchy dragToRow="0" dragToCol="0" dragToPage="0" dragToData="1" caption="Wykres odchyl. proc.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 dragOff="0" includeNewItemsInFilter="1">
      <extLst>
        <ext xmlns:x14="http://schemas.microsoft.com/office/spreadsheetml/2009/9/main" uri="{F1805F06-0CD3-4483-9156-8803C3D141DF}">
          <x14:pivotHierarchy ignore="1"/>
        </ext>
      </extLst>
    </pivotHierarchy>
    <pivotHierarchy dragToRow="0" dragToCol="0" dragToPage="0" dragToData="1" dragOff="0" includeNewItemsInFilter="1">
      <extLst>
        <ext xmlns:x14="http://schemas.microsoft.com/office/spreadsheetml/2009/9/main" uri="{F1805F06-0CD3-4483-9156-8803C3D141DF}">
          <x14:pivotHierarchy ignore="1"/>
        </ext>
      </extLst>
    </pivotHierarchy>
    <pivotHierarchy dragToRow="0" dragToCol="0" dragToPage="0" dragToData="1" dragOff="0" includeNewItemsInFilter="1">
      <extLst>
        <ext xmlns:x14="http://schemas.microsoft.com/office/spreadsheetml/2009/9/main" uri="{F1805F06-0CD3-4483-9156-8803C3D141DF}">
          <x14:pivotHierarchy ignore="1"/>
        </ext>
      </extLst>
    </pivotHierarchy>
  </pivotHierarchies>
  <pivotTableStyleInfo name="PivotStyleDark11 2" showRowHeaders="1" showColHeaders="1" showRowStripes="0" showColStripes="0" showLastColumn="1"/>
  <rowHierarchiesUsage count="1">
    <rowHierarchyUsage hierarchyUsage="16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>
        <x14:conditionalFormats count="2">
          <x14:conditionalFormat priority="11" id="{96B0CA01-BE55-44AE-9793-8C10347927E6}">
            <x14:pivotAreas count="1">
              <pivotArea type="data" collapsedLevelsAreSubtotals="1" fieldPosition="0">
                <references count="2">
                  <reference field="4294967294" count="1" selected="0">
                    <x v="4"/>
                  </reference>
                  <reference field="3" count="13">
                    <x v="0"/>
                    <x v="1"/>
                    <x v="2"/>
                    <x v="3"/>
                    <x v="4"/>
                    <x v="5"/>
                    <x v="6"/>
                    <x v="7"/>
                    <x v="8"/>
                    <x v="9"/>
                    <x v="10"/>
                    <x v="11"/>
                    <x v="12"/>
                  </reference>
                </references>
              </pivotArea>
            </x14:pivotAreas>
          </x14:conditionalFormat>
          <x14:conditionalFormat priority="12" id="{D47CB95F-E3BB-4179-B2B5-9BCE74B2D49D}">
            <x14:pivotAreas count="1">
              <pivotArea type="data" collapsedLevelsAreSubtotals="1" fieldPosition="0">
                <references count="2">
                  <reference field="4294967294" count="1" selected="0">
                    <x v="6"/>
                  </reference>
                  <reference field="3" count="13">
                    <x v="0"/>
                    <x v="1"/>
                    <x v="2"/>
                    <x v="3"/>
                    <x v="4"/>
                    <x v="5"/>
                    <x v="6"/>
                    <x v="7"/>
                    <x v="8"/>
                    <x v="9"/>
                    <x v="10"/>
                    <x v="11"/>
                    <x v="12"/>
                  </reference>
                </references>
              </pivotArea>
            </x14:pivotAreas>
          </x14:conditionalFormat>
        </x14:conditionalFormats>
      </x14:pivotTableDefinition>
    </ext>
    <ext xmlns:x15="http://schemas.microsoft.com/office/spreadsheetml/2010/11/main" uri="{E67621CE-5B39-4880-91FE-76760E9C1902}">
      <x15:pivotTableUISettings>
        <x15:activeTabTopLevelEntity name="[Plan kont]"/>
        <x15:activeTabTopLevelEntity name="[Kalendarz]"/>
        <x15:activeTabTopLevelEntity name="[Koszty]"/>
        <x15:activeTabTopLevelEntity name="[Budżet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78138A1-3ECC-4842-B8D8-5D73D6D5A22E}" name="Tabela przestawna3" cacheId="1" applyNumberFormats="0" applyBorderFormats="0" applyFontFormats="0" applyPatternFormats="0" applyAlignmentFormats="0" applyWidthHeightFormats="1" dataCaption="Wartości" tag="be843955-6dac-43ee-b432-022d1ddbcc06" updatedVersion="8" minRefreshableVersion="5" subtotalHiddenItems="1" itemPrintTitles="1" createdVersion="8" indent="0" outline="1" outlineData="1" multipleFieldFilters="0" chartFormat="2" rowHeaderCaption="MPK">
  <location ref="L41:S55" firstHeaderRow="0" firstDataRow="1" firstDataCol="1"/>
  <pivotFields count="8">
    <pivotField dataField="1" subtotalTop="0" showAll="0" defaultSubtotal="0"/>
    <pivotField axis="axisRow" allDrilled="1" subtotalTop="0" showAll="0" sortType="descending" defaultSubtotal="0" defaultAttributeDrillState="1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</items>
      <autoSortScope>
        <pivotArea dataOnly="0" outline="0" fieldPosition="0">
          <references count="1">
            <reference field="4294967294" count="1" selected="0">
              <x v="3"/>
            </reference>
          </references>
        </pivotArea>
      </autoSortScope>
    </pivotField>
    <pivotField dataField="1" subtotalTop="0" showAll="0" defaultSubtotal="0"/>
    <pivotField dataField="1" subtotalTop="0" showAll="0" defaultSubtotal="0"/>
    <pivotField dataField="1" subtotalTop="0" showAll="0" defaultSubtotal="0"/>
    <pivotField dataField="1" compact="0" outline="0" subtotalTop="0" dragToRow="0" dragToCol="0" dragToPage="0" dragToData="0" dragOff="0" showAll="0" topAutoShow="0" includeNewItemsInFilter="1" itemPageCount="0" rankBy="0" defaultSubtotal="0">
      <extLst>
        <ext xmlns:x14="http://schemas.microsoft.com/office/spreadsheetml/2009/9/main" uri="{2946ED86-A175-432a-8AC1-64E0C546D7DE}">
          <x14:pivotField ignore="1"/>
        </ext>
      </extLst>
    </pivotField>
    <pivotField dataField="1" compact="0" outline="0" subtotalTop="0" dragToRow="0" dragToCol="0" dragToPage="0" dragToData="0" dragOff="0" showAll="0" topAutoShow="0" includeNewItemsInFilter="1" itemPageCount="0" rankBy="0" defaultSubtotal="0">
      <extLst>
        <ext xmlns:x14="http://schemas.microsoft.com/office/spreadsheetml/2009/9/main" uri="{2946ED86-A175-432a-8AC1-64E0C546D7DE}">
          <x14:pivotField ignore="1"/>
        </ext>
      </extLst>
    </pivotField>
    <pivotField dataField="1" compact="0" outline="0" subtotalTop="0" dragToRow="0" dragToCol="0" dragToPage="0" dragToData="0" dragOff="0" showAll="0" topAutoShow="0" includeNewItemsInFilter="1" itemPageCount="0" rankBy="0" defaultSubtotal="0">
      <extLst>
        <ext xmlns:x14="http://schemas.microsoft.com/office/spreadsheetml/2009/9/main" uri="{2946ED86-A175-432a-8AC1-64E0C546D7DE}">
          <x14:pivotField ignore="1"/>
        </ext>
      </extLst>
    </pivotField>
  </pivotFields>
  <rowFields count="1">
    <field x="1"/>
  </rowFields>
  <rowItems count="14">
    <i>
      <x v="10"/>
    </i>
    <i>
      <x v="7"/>
    </i>
    <i>
      <x v="11"/>
    </i>
    <i>
      <x v="9"/>
    </i>
    <i>
      <x v="8"/>
    </i>
    <i>
      <x v="12"/>
    </i>
    <i>
      <x/>
    </i>
    <i>
      <x v="4"/>
    </i>
    <i>
      <x v="5"/>
    </i>
    <i>
      <x v="2"/>
    </i>
    <i>
      <x v="6"/>
    </i>
    <i>
      <x v="3"/>
    </i>
    <i>
      <x v="1"/>
    </i>
    <i t="grand">
      <x/>
    </i>
  </rowItems>
  <colFields count="1">
    <field x="-2"/>
  </colFields>
  <colItems count="7">
    <i>
      <x/>
    </i>
    <i i="1">
      <x v="1"/>
    </i>
    <i i="2">
      <x v="2"/>
    </i>
    <i i="3">
      <x v="3"/>
    </i>
    <i i="4">
      <x v="4"/>
    </i>
    <i i="5">
      <x v="5"/>
    </i>
    <i i="6">
      <x v="6"/>
    </i>
  </colItems>
  <dataFields count="7">
    <dataField name="Koszty 2025" fld="2" subtotal="count" baseField="1" baseItem="0"/>
    <dataField name="Koszty 2026" fld="0" subtotal="count" baseField="1" baseItem="0"/>
    <dataField name="Koszty YoY" fld="3" subtotal="count" baseField="1" baseItem="0"/>
    <dataField name="Odchylenie procentowe" fld="4" subtotal="count" baseField="0" baseItem="0"/>
    <dataField name="Alert1" fld="5" subtotal="count" baseField="1" baseItem="0">
      <extLst>
        <ext xmlns:x14="http://schemas.microsoft.com/office/spreadsheetml/2009/9/main" uri="{E15A36E0-9728-4e99-A89B-3F7291B0FE68}">
          <x14:dataField sourceField="4" uniqueName="[__Xl3].[Measures].[M12.Odchylenie%Koszty]"/>
        </ext>
      </extLst>
    </dataField>
    <dataField name="Wykres odchyl. proc." fld="6" subtotal="count" baseField="1" baseItem="0">
      <extLst>
        <ext xmlns:x14="http://schemas.microsoft.com/office/spreadsheetml/2009/9/main" uri="{E15A36E0-9728-4e99-A89B-3F7291B0FE68}">
          <x14:dataField sourceField="4" uniqueName="[__Xl4].[Measures].[M12.Odchylenie%Koszty]"/>
        </ext>
      </extLst>
    </dataField>
    <dataField name="Alert2" fld="7" subtotal="count" baseField="1" baseItem="0">
      <extLst>
        <ext xmlns:x14="http://schemas.microsoft.com/office/spreadsheetml/2009/9/main" uri="{E15A36E0-9728-4e99-A89B-3F7291B0FE68}">
          <x14:dataField sourceField="4" uniqueName="[__Xl2].[Measures].[M12.Odchylenie%Koszty]"/>
        </ext>
      </extLst>
    </dataField>
  </dataFields>
  <formats count="13">
    <format dxfId="40">
      <pivotArea type="all" dataOnly="0" outline="0" fieldPosition="0"/>
    </format>
    <format dxfId="39">
      <pivotArea outline="0" collapsedLevelsAreSubtotals="1" fieldPosition="0"/>
    </format>
    <format dxfId="38">
      <pivotArea field="1" type="button" dataOnly="0" labelOnly="1" outline="0" axis="axisRow" fieldPosition="0"/>
    </format>
    <format dxfId="37">
      <pivotArea dataOnly="0" labelOnly="1" fieldPosition="0">
        <references count="1">
          <reference field="1" count="0"/>
        </references>
      </pivotArea>
    </format>
    <format dxfId="36">
      <pivotArea dataOnly="0" labelOnly="1" grandRow="1" outline="0" fieldPosition="0"/>
    </format>
    <format dxfId="35">
      <pivotArea dataOnly="0" labelOnly="1" outline="0" fieldPosition="0">
        <references count="1">
          <reference field="4294967294" count="7">
            <x v="0"/>
            <x v="1"/>
            <x v="2"/>
            <x v="3"/>
            <x v="4"/>
            <x v="5"/>
            <x v="6"/>
          </reference>
        </references>
      </pivotArea>
    </format>
    <format dxfId="34">
      <pivotArea dataOnly="0" labelOnly="1" outline="0" fieldPosition="0">
        <references count="1">
          <reference field="4294967294" count="1">
            <x v="3"/>
          </reference>
        </references>
      </pivotArea>
    </format>
    <format dxfId="33">
      <pivotArea type="all" dataOnly="0" outline="0" fieldPosition="0"/>
    </format>
    <format dxfId="32">
      <pivotArea outline="0" collapsedLevelsAreSubtotals="1" fieldPosition="0"/>
    </format>
    <format dxfId="31">
      <pivotArea field="1" type="button" dataOnly="0" labelOnly="1" outline="0" axis="axisRow" fieldPosition="0"/>
    </format>
    <format dxfId="30">
      <pivotArea dataOnly="0" labelOnly="1" fieldPosition="0">
        <references count="1">
          <reference field="1" count="0"/>
        </references>
      </pivotArea>
    </format>
    <format dxfId="29">
      <pivotArea dataOnly="0" labelOnly="1" grandRow="1" outline="0" fieldPosition="0"/>
    </format>
    <format dxfId="28">
      <pivotArea dataOnly="0" labelOnly="1" outline="0" fieldPosition="0">
        <references count="1">
          <reference field="4294967294" count="7">
            <x v="0"/>
            <x v="1"/>
            <x v="2"/>
            <x v="3"/>
            <x v="4"/>
            <x v="5"/>
            <x v="6"/>
          </reference>
        </references>
      </pivotArea>
    </format>
  </formats>
  <conditionalFormats count="1">
    <conditionalFormat priority="7">
      <pivotAreas count="1">
        <pivotArea type="data" outline="0" collapsedLevelsAreSubtotals="1" fieldPosition="0">
          <references count="1">
            <reference field="4294967294" count="1" selected="0">
              <x v="5"/>
            </reference>
          </references>
        </pivotArea>
      </pivotAreas>
    </conditionalFormat>
  </conditionalFormats>
  <pivotHierarchies count="48">
    <pivotHierarchy dragToData="1"/>
    <pivotHierarchy dragToData="1"/>
    <pivotHierarchy dragToData="1"/>
    <pivotHierarchy dragToData="1"/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multipleItemSelectionAllowed="1" dragToData="1"/>
    <pivotHierarchy dragToData="1"/>
    <pivotHierarchy multipleItemSelectionAllowed="1"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 caption="Koszty 2026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 caption="Koszty 2025"/>
    <pivotHierarchy dragToRow="0" dragToCol="0" dragToPage="0" dragToData="1" caption="Koszty YoY"/>
    <pivotHierarchy dragToRow="0" dragToCol="0" dragToPage="0" dragToData="1"/>
    <pivotHierarchy dragToRow="0" dragToCol="0" dragToPage="0" dragToData="1" caption="Alert2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 dragOff="0" includeNewItemsInFilter="1">
      <extLst>
        <ext xmlns:x14="http://schemas.microsoft.com/office/spreadsheetml/2009/9/main" uri="{F1805F06-0CD3-4483-9156-8803C3D141DF}">
          <x14:pivotHierarchy ignore="1"/>
        </ext>
      </extLst>
    </pivotHierarchy>
    <pivotHierarchy dragToRow="0" dragToCol="0" dragToPage="0" dragToData="1" dragOff="0" includeNewItemsInFilter="1">
      <extLst>
        <ext xmlns:x14="http://schemas.microsoft.com/office/spreadsheetml/2009/9/main" uri="{F1805F06-0CD3-4483-9156-8803C3D141DF}">
          <x14:pivotHierarchy ignore="1"/>
        </ext>
      </extLst>
    </pivotHierarchy>
    <pivotHierarchy dragToRow="0" dragToCol="0" dragToPage="0" dragToData="1" dragOff="0" includeNewItemsInFilter="1">
      <extLst>
        <ext xmlns:x14="http://schemas.microsoft.com/office/spreadsheetml/2009/9/main" uri="{F1805F06-0CD3-4483-9156-8803C3D141DF}">
          <x14:pivotHierarchy ignore="1"/>
        </ext>
      </extLst>
    </pivotHierarchy>
  </pivotHierarchies>
  <pivotTableStyleInfo name="PivotStyleDark11 2" showRowHeaders="1" showColHeaders="1" showRowStripes="0" showColStripes="0" showLastColumn="1"/>
  <rowHierarchiesUsage count="1">
    <rowHierarchyUsage hierarchyUsage="16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>
        <x14:conditionalFormats count="2">
          <x14:conditionalFormat priority="5" id="{3369AA62-4E41-45CA-A9C9-4BEA87B3D9D0}">
            <x14:pivotAreas count="1">
              <pivotArea type="data" outline="0" collapsedLevelsAreSubtotals="1" fieldPosition="0">
                <references count="1">
                  <reference field="4294967294" count="1" selected="0">
                    <x v="4"/>
                  </reference>
                </references>
              </pivotArea>
            </x14:pivotAreas>
          </x14:conditionalFormat>
          <x14:conditionalFormat priority="6" id="{9DB19275-9610-4817-AC4D-F3067443D1DA}">
            <x14:pivotAreas count="1">
              <pivotArea type="data" outline="0" collapsedLevelsAreSubtotals="1" fieldPosition="0">
                <references count="1">
                  <reference field="4294967294" count="1" selected="0">
                    <x v="6"/>
                  </reference>
                </references>
              </pivotArea>
            </x14:pivotAreas>
          </x14:conditionalFormat>
        </x14:conditionalFormats>
      </x14:pivotTableDefinition>
    </ext>
    <ext xmlns:x15="http://schemas.microsoft.com/office/spreadsheetml/2010/11/main" uri="{E67621CE-5B39-4880-91FE-76760E9C1902}">
      <x15:pivotTableUISettings>
        <x15:activeTabTopLevelEntity name="[Plan kont]"/>
        <x15:activeTabTopLevelEntity name="[Kalendarz]"/>
        <x15:activeTabTopLevelEntity name="[Koszty]"/>
        <x15:activeTabTopLevelEntity name="[Budżet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7D59DC8-D4B3-4B8A-94DB-BF104F223595}" name="Tabela przestawna6" cacheId="7" applyNumberFormats="0" applyBorderFormats="0" applyFontFormats="0" applyPatternFormats="0" applyAlignmentFormats="0" applyWidthHeightFormats="1" dataCaption="Wartości" tag="f06387af-2b7f-4daf-a408-5a634bafa1a5" updatedVersion="8" minRefreshableVersion="5" useAutoFormatting="1" subtotalHiddenItems="1" itemPrintTitles="1" createdVersion="8" indent="0" outline="1" outlineData="1" multipleFieldFilters="0">
  <location ref="A61:C62" firstHeaderRow="0" firstDataRow="1" firstDataCol="0"/>
  <pivotFields count="3">
    <pivotField dataField="1" subtotalTop="0" showAll="0" defaultSubtotal="0"/>
    <pivotField dataField="1" subtotalTop="0" showAll="0" defaultSubtotal="0"/>
    <pivotField dataField="1" subtotalTop="0" showAll="0" defaultSubtotal="0"/>
  </pivotFields>
  <rowItems count="1">
    <i/>
  </rowItems>
  <colFields count="1">
    <field x="-2"/>
  </colFields>
  <colItems count="3">
    <i>
      <x/>
    </i>
    <i i="1">
      <x v="1"/>
    </i>
    <i i="2">
      <x v="2"/>
    </i>
  </colItems>
  <dataFields count="3">
    <dataField fld="0" subtotal="count" baseField="0" baseItem="0"/>
    <dataField fld="1" subtotal="count" baseField="0" baseItem="0"/>
    <dataField fld="2" subtotal="count" baseField="0" baseItem="0"/>
  </dataFields>
  <pivotHierarchies count="45">
    <pivotHierarchy dragToData="1"/>
    <pivotHierarchy dragToData="1"/>
    <pivotHierarchy dragToData="1"/>
    <pivotHierarchy dragToData="1"/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multipleItemSelectionAllowed="1" dragToData="1"/>
    <pivotHierarchy dragToData="1"/>
    <pivotHierarchy multipleItemSelectionAllowed="1"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Budżet]"/>
        <x15:activeTabTopLevelEntity name="[Plan kont]"/>
        <x15:activeTabTopLevelEntity name="[Kalendarz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0B6F645-CAAA-4DB8-878B-F3EC52865BCF}" name="Tabela przestawna4" cacheId="5" applyNumberFormats="0" applyBorderFormats="0" applyFontFormats="0" applyPatternFormats="0" applyAlignmentFormats="0" applyWidthHeightFormats="1" dataCaption="Wartości" tag="310c6a24-ad86-4f60-bb68-2bfb728e25fd" updatedVersion="8" minRefreshableVersion="5" subtotalHiddenItems="1" itemPrintTitles="1" createdVersion="8" indent="0" outline="1" outlineData="1" multipleFieldFilters="0" chartFormat="8">
  <location ref="A19:B33" firstHeaderRow="1" firstDataRow="1" firstDataCol="1"/>
  <pivotFields count="2">
    <pivotField axis="axisRow" allDrilled="1" subtotalTop="0" showAll="0" sortType="ascending" dataSourceSort="1" defaultSubtotal="0" defaultAttributeDrillState="1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</pivotFields>
  <rowFields count="1">
    <field x="0"/>
  </rowFields>
  <rowItems count="14">
    <i>
      <x v="2"/>
    </i>
    <i>
      <x v="5"/>
    </i>
    <i>
      <x v="3"/>
    </i>
    <i>
      <x v="6"/>
    </i>
    <i>
      <x v="1"/>
    </i>
    <i>
      <x v="7"/>
    </i>
    <i>
      <x v="8"/>
    </i>
    <i>
      <x v="10"/>
    </i>
    <i>
      <x v="11"/>
    </i>
    <i>
      <x v="9"/>
    </i>
    <i>
      <x v="4"/>
    </i>
    <i>
      <x/>
    </i>
    <i>
      <x v="12"/>
    </i>
    <i t="grand">
      <x/>
    </i>
  </rowItems>
  <colItems count="1">
    <i/>
  </colItems>
  <dataFields count="1">
    <dataField fld="1" subtotal="count" baseField="0" baseItem="0"/>
  </dataFields>
  <chartFormats count="1">
    <chartFormat chart="7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45">
    <pivotHierarchy dragToData="1"/>
    <pivotHierarchy dragToData="1"/>
    <pivotHierarchy dragToData="1"/>
    <pivotHierarchy dragToData="1"/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multipleItemSelectionAllowed="1" dragToData="1"/>
    <pivotHierarchy dragToData="1"/>
    <pivotHierarchy multipleItemSelectionAllowed="1"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16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Budżet]"/>
        <x15:activeTabTopLevelEntity name="[Kalendarz]"/>
        <x15:activeTabTopLevelEntity name="[Plan kont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AB4490C-337C-4F4D-8212-BC87CCB32AD2}" name="Tabela przestawna3" cacheId="4" applyNumberFormats="0" applyBorderFormats="0" applyFontFormats="0" applyPatternFormats="0" applyAlignmentFormats="0" applyWidthHeightFormats="1" dataCaption="Wartości" tag="e29ea7a0-b24d-4bfd-bef5-878193732edb" updatedVersion="8" minRefreshableVersion="5" subtotalHiddenItems="1" itemPrintTitles="1" createdVersion="8" indent="0" outline="1" outlineData="1" multipleFieldFilters="0" chartFormat="20">
  <location ref="A4:D17" firstHeaderRow="0" firstDataRow="1" firstDataCol="1"/>
  <pivotFields count="4">
    <pivotField dataField="1" subtotalTop="0" showAll="0" defaultSubtotal="0"/>
    <pivotField dataField="1" subtotalTop="0" showAll="0" defaultSubtotal="0"/>
    <pivotField axis="axisRow" allDrilled="1" subtotalTop="0" showAll="0" dataSourceSort="1" defaultSubtotal="0" defaultAttributeDrillState="1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  <pivotField dataField="1" subtotalTop="0" showAll="0" defaultSubtotal="0"/>
  </pivotFields>
  <rowFields count="1">
    <field x="2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fld="3" subtotal="count" baseField="0" baseItem="0"/>
    <dataField fld="0" subtotal="count" baseField="0" baseItem="0"/>
    <dataField fld="1" subtotal="count" baseField="0" baseItem="0"/>
  </dataFields>
  <chartFormats count="25">
    <chartFormat chart="4" format="6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8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4" format="13" series="1">
      <pivotArea type="data" outline="0" fieldPosition="0">
        <references count="2">
          <reference field="4294967294" count="1" selected="0">
            <x v="1"/>
          </reference>
          <reference field="2" count="1" selected="0">
            <x v="11"/>
          </reference>
        </references>
      </pivotArea>
    </chartFormat>
    <chartFormat chart="4" format="14" series="1">
      <pivotArea type="data" outline="0" fieldPosition="0">
        <references count="2">
          <reference field="4294967294" count="1" selected="0">
            <x v="2"/>
          </reference>
          <reference field="2" count="1" selected="0">
            <x v="11"/>
          </reference>
        </references>
      </pivotArea>
    </chartFormat>
    <chartFormat chart="4" format="16" series="1">
      <pivotArea type="data" outline="0" fieldPosition="0">
        <references count="2">
          <reference field="4294967294" count="1" selected="0">
            <x v="1"/>
          </reference>
          <reference field="2" count="1" selected="0">
            <x v="3"/>
          </reference>
        </references>
      </pivotArea>
    </chartFormat>
    <chartFormat chart="4" format="17" series="1">
      <pivotArea type="data" outline="0" fieldPosition="0">
        <references count="2">
          <reference field="4294967294" count="1" selected="0">
            <x v="2"/>
          </reference>
          <reference field="2" count="1" selected="0">
            <x v="3"/>
          </reference>
        </references>
      </pivotArea>
    </chartFormat>
    <chartFormat chart="4" format="19" series="1">
      <pivotArea type="data" outline="0" fieldPosition="0">
        <references count="2">
          <reference field="4294967294" count="1" selected="0">
            <x v="1"/>
          </reference>
          <reference field="2" count="1" selected="0">
            <x v="6"/>
          </reference>
        </references>
      </pivotArea>
    </chartFormat>
    <chartFormat chart="4" format="20" series="1">
      <pivotArea type="data" outline="0" fieldPosition="0">
        <references count="2">
          <reference field="4294967294" count="1" selected="0">
            <x v="2"/>
          </reference>
          <reference field="2" count="1" selected="0">
            <x v="6"/>
          </reference>
        </references>
      </pivotArea>
    </chartFormat>
    <chartFormat chart="4" format="22" series="1">
      <pivotArea type="data" outline="0" fieldPosition="0">
        <references count="2">
          <reference field="4294967294" count="1" selected="0">
            <x v="1"/>
          </reference>
          <reference field="2" count="1" selected="0">
            <x v="10"/>
          </reference>
        </references>
      </pivotArea>
    </chartFormat>
    <chartFormat chart="4" format="23" series="1">
      <pivotArea type="data" outline="0" fieldPosition="0">
        <references count="2">
          <reference field="4294967294" count="1" selected="0">
            <x v="2"/>
          </reference>
          <reference field="2" count="1" selected="0">
            <x v="10"/>
          </reference>
        </references>
      </pivotArea>
    </chartFormat>
    <chartFormat chart="4" format="25" series="1">
      <pivotArea type="data" outline="0" fieldPosition="0">
        <references count="2">
          <reference field="4294967294" count="1" selected="0">
            <x v="1"/>
          </reference>
          <reference field="2" count="1" selected="0">
            <x v="1"/>
          </reference>
        </references>
      </pivotArea>
    </chartFormat>
    <chartFormat chart="4" format="26" series="1">
      <pivotArea type="data" outline="0" fieldPosition="0">
        <references count="2">
          <reference field="4294967294" count="1" selected="0">
            <x v="2"/>
          </reference>
          <reference field="2" count="1" selected="0">
            <x v="1"/>
          </reference>
        </references>
      </pivotArea>
    </chartFormat>
    <chartFormat chart="4" format="28" series="1">
      <pivotArea type="data" outline="0" fieldPosition="0">
        <references count="2">
          <reference field="4294967294" count="1" selected="0">
            <x v="1"/>
          </reference>
          <reference field="2" count="1" selected="0">
            <x v="4"/>
          </reference>
        </references>
      </pivotArea>
    </chartFormat>
    <chartFormat chart="4" format="29" series="1">
      <pivotArea type="data" outline="0" fieldPosition="0">
        <references count="2">
          <reference field="4294967294" count="1" selected="0">
            <x v="2"/>
          </reference>
          <reference field="2" count="1" selected="0">
            <x v="4"/>
          </reference>
        </references>
      </pivotArea>
    </chartFormat>
    <chartFormat chart="4" format="31" series="1">
      <pivotArea type="data" outline="0" fieldPosition="0">
        <references count="2">
          <reference field="4294967294" count="1" selected="0">
            <x v="1"/>
          </reference>
          <reference field="2" count="1" selected="0">
            <x v="2"/>
          </reference>
        </references>
      </pivotArea>
    </chartFormat>
    <chartFormat chart="4" format="32" series="1">
      <pivotArea type="data" outline="0" fieldPosition="0">
        <references count="2">
          <reference field="4294967294" count="1" selected="0">
            <x v="2"/>
          </reference>
          <reference field="2" count="1" selected="0">
            <x v="2"/>
          </reference>
        </references>
      </pivotArea>
    </chartFormat>
    <chartFormat chart="4" format="34" series="1">
      <pivotArea type="data" outline="0" fieldPosition="0">
        <references count="2">
          <reference field="4294967294" count="1" selected="0">
            <x v="1"/>
          </reference>
          <reference field="2" count="1" selected="0">
            <x v="9"/>
          </reference>
        </references>
      </pivotArea>
    </chartFormat>
    <chartFormat chart="4" format="35" series="1">
      <pivotArea type="data" outline="0" fieldPosition="0">
        <references count="2">
          <reference field="4294967294" count="1" selected="0">
            <x v="2"/>
          </reference>
          <reference field="2" count="1" selected="0">
            <x v="9"/>
          </reference>
        </references>
      </pivotArea>
    </chartFormat>
    <chartFormat chart="4" format="37" series="1">
      <pivotArea type="data" outline="0" fieldPosition="0">
        <references count="2">
          <reference field="4294967294" count="1" selected="0">
            <x v="1"/>
          </reference>
          <reference field="2" count="1" selected="0">
            <x v="7"/>
          </reference>
        </references>
      </pivotArea>
    </chartFormat>
    <chartFormat chart="4" format="38" series="1">
      <pivotArea type="data" outline="0" fieldPosition="0">
        <references count="2">
          <reference field="4294967294" count="1" selected="0">
            <x v="2"/>
          </reference>
          <reference field="2" count="1" selected="0">
            <x v="7"/>
          </reference>
        </references>
      </pivotArea>
    </chartFormat>
    <chartFormat chart="4" format="40" series="1">
      <pivotArea type="data" outline="0" fieldPosition="0">
        <references count="2">
          <reference field="4294967294" count="1" selected="0">
            <x v="1"/>
          </reference>
          <reference field="2" count="1" selected="0">
            <x v="0"/>
          </reference>
        </references>
      </pivotArea>
    </chartFormat>
    <chartFormat chart="4" format="41" series="1">
      <pivotArea type="data" outline="0" fieldPosition="0">
        <references count="2">
          <reference field="4294967294" count="1" selected="0">
            <x v="2"/>
          </reference>
          <reference field="2" count="1" selected="0">
            <x v="0"/>
          </reference>
        </references>
      </pivotArea>
    </chartFormat>
    <chartFormat chart="4" format="43" series="1">
      <pivotArea type="data" outline="0" fieldPosition="0">
        <references count="2">
          <reference field="4294967294" count="1" selected="0">
            <x v="1"/>
          </reference>
          <reference field="2" count="1" selected="0">
            <x v="8"/>
          </reference>
        </references>
      </pivotArea>
    </chartFormat>
    <chartFormat chart="4" format="44" series="1">
      <pivotArea type="data" outline="0" fieldPosition="0">
        <references count="2">
          <reference field="4294967294" count="1" selected="0">
            <x v="2"/>
          </reference>
          <reference field="2" count="1" selected="0">
            <x v="8"/>
          </reference>
        </references>
      </pivotArea>
    </chartFormat>
    <chartFormat chart="4" format="46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45">
    <pivotHierarchy dragToData="1"/>
    <pivotHierarchy dragToData="1"/>
    <pivotHierarchy dragToData="1"/>
    <pivotHierarchy dragToData="1"/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multipleItemSelectionAllowed="1" dragToData="1"/>
    <pivotHierarchy dragToData="1"/>
    <pivotHierarchy multipleItemSelectionAllowed="1"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7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Kalendarz]"/>
        <x15:activeTabTopLevelEntity name="[Budżet]"/>
        <x15:activeTabTopLevelEntity name="[Koszty]"/>
        <x15:activeTabTopLevelEntity name="[Plan kont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9C67F3-9F67-4161-B461-271255A7D014}" name="Tabela przestawna2" cacheId="3" applyNumberFormats="0" applyBorderFormats="0" applyFontFormats="0" applyPatternFormats="0" applyAlignmentFormats="0" applyWidthHeightFormats="1" dataCaption="Wartości" tag="dbac7480-f1bc-4ff5-8c36-77b8df91c470" updatedVersion="8" minRefreshableVersion="5" subtotalHiddenItems="1" itemPrintTitles="1" createdVersion="8" indent="0" outline="1" outlineData="1" multipleFieldFilters="0">
  <location ref="A1:D2" firstHeaderRow="0" firstDataRow="1" firstDataCol="0"/>
  <pivotFields count="4"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</pivotFields>
  <rowItems count="1">
    <i/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fld="0" subtotal="count" baseField="0" baseItem="0"/>
    <dataField fld="1" subtotal="count" baseField="0" baseItem="0"/>
    <dataField fld="2" subtotal="count" baseField="0" baseItem="0"/>
    <dataField fld="3" subtotal="count" baseField="0" baseItem="0"/>
  </dataFields>
  <pivotHierarchies count="45">
    <pivotHierarchy dragToData="1"/>
    <pivotHierarchy dragToData="1"/>
    <pivotHierarchy dragToData="1"/>
    <pivotHierarchy dragToData="1"/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multipleItemSelectionAllowed="1" dragToData="1"/>
    <pivotHierarchy dragToData="1"/>
    <pivotHierarchy multipleItemSelectionAllowed="1"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Koszty]"/>
        <x15:activeTabTopLevelEntity name="[Budżet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50E5C02-686C-4632-BBF3-445EF8370B26}" name="Tabela przestawna1" cacheId="2" applyNumberFormats="0" applyBorderFormats="0" applyFontFormats="0" applyPatternFormats="0" applyAlignmentFormats="0" applyWidthHeightFormats="1" dataCaption="Wartości" tag="c8bbfcba-2880-4bfe-a632-67dd9ba268c1" updatedVersion="8" minRefreshableVersion="5" useAutoFormatting="1" subtotalHiddenItems="1" itemPrintTitles="1" createdVersion="8" indent="0" outline="1" outlineData="1" multipleFieldFilters="0" chartFormat="5">
  <location ref="A46:C59" firstHeaderRow="0" firstDataRow="1" firstDataCol="1"/>
  <pivotFields count="3">
    <pivotField axis="axisRow" allDrilled="1" subtotalTop="0" showAll="0" dataSourceSort="1" defaultSubtotal="0" defaultAttributeDrillState="1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  <pivotField dataField="1" subtotalTop="0" showAll="0" defaultSubtotal="0"/>
    <pivotField dataField="1" subtotalTop="0" showAll="0" defaultSubtotal="0"/>
  </pivotFields>
  <rowFields count="1">
    <field x="0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-2"/>
  </colFields>
  <colItems count="2">
    <i>
      <x/>
    </i>
    <i i="1">
      <x v="1"/>
    </i>
  </colItems>
  <dataFields count="2">
    <dataField fld="2" subtotal="count" baseField="0" baseItem="0"/>
    <dataField fld="1" subtotal="count" baseField="0" baseItem="0"/>
  </dataFields>
  <chartFormats count="2"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Hierarchies count="45">
    <pivotHierarchy dragToData="1"/>
    <pivotHierarchy dragToData="1"/>
    <pivotHierarchy dragToData="1"/>
    <pivotHierarchy dragToData="1"/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multipleItemSelectionAllowed="1" dragToData="1"/>
    <pivotHierarchy dragToData="1"/>
    <pivotHierarchy multipleItemSelectionAllowed="1"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10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Kalendarz]"/>
        <x15:activeTabTopLevelEntity name="[Budżet]"/>
        <x15:activeTabTopLevelEntity name="[Koszty]"/>
        <x15:activeTabTopLevelEntity name="[Plan kont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9B2C0E-012F-4C48-8D5D-C81F1BBD824A}" name="Tabela przestawna5" cacheId="6" applyNumberFormats="0" applyBorderFormats="0" applyFontFormats="0" applyPatternFormats="0" applyAlignmentFormats="0" applyWidthHeightFormats="1" dataCaption="Wartości" tag="bb638eb0-bba7-472f-8a6e-d74daa6d903e" updatedVersion="8" minRefreshableVersion="5" useAutoFormatting="1" subtotalHiddenItems="1" itemPrintTitles="1" createdVersion="8" indent="0" outline="1" outlineData="1" multipleFieldFilters="0" chartFormat="5">
  <location ref="A35:B44" firstHeaderRow="1" firstDataRow="1" firstDataCol="1"/>
  <pivotFields count="2">
    <pivotField axis="axisRow" allDrilled="1" subtotalTop="0" showAll="0" sortType="ascending" dataSourceSort="1" defaultSubtotal="0" defaultAttributeDrillState="1">
      <items count="8">
        <item x="0"/>
        <item x="1"/>
        <item x="2"/>
        <item x="3"/>
        <item x="4"/>
        <item x="5"/>
        <item x="6"/>
        <item x="7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</pivotFields>
  <rowFields count="1">
    <field x="0"/>
  </rowFields>
  <rowItems count="9">
    <i>
      <x v="5"/>
    </i>
    <i>
      <x v="7"/>
    </i>
    <i>
      <x v="4"/>
    </i>
    <i>
      <x v="3"/>
    </i>
    <i>
      <x v="6"/>
    </i>
    <i>
      <x v="1"/>
    </i>
    <i>
      <x/>
    </i>
    <i>
      <x v="2"/>
    </i>
    <i t="grand">
      <x/>
    </i>
  </rowItems>
  <colItems count="1">
    <i/>
  </colItems>
  <dataFields count="1">
    <dataField fld="1" subtotal="count" baseField="0" baseItem="7"/>
  </dataFields>
  <formats count="8">
    <format dxfId="7">
      <pivotArea type="all" dataOnly="0" outline="0" fieldPosition="0"/>
    </format>
    <format dxfId="6">
      <pivotArea outline="0" collapsedLevelsAreSubtotals="1" fieldPosition="0"/>
    </format>
    <format dxfId="5">
      <pivotArea field="0" type="button" dataOnly="0" labelOnly="1" outline="0" axis="axisRow" fieldPosition="0"/>
    </format>
    <format dxfId="4">
      <pivotArea dataOnly="0" labelOnly="1" fieldPosition="0">
        <references count="1">
          <reference field="0" count="0"/>
        </references>
      </pivotArea>
    </format>
    <format dxfId="3">
      <pivotArea dataOnly="0" labelOnly="1" grandRow="1" outline="0" fieldPosition="0"/>
    </format>
    <format dxfId="2">
      <pivotArea dataOnly="0" labelOnly="1" outline="0" axis="axisValues" fieldPosition="0"/>
    </format>
    <format dxfId="1">
      <pivotArea outline="0" fieldPosition="0">
        <references count="1">
          <reference field="4294967294" count="1">
            <x v="0"/>
          </reference>
        </references>
      </pivotArea>
    </format>
    <format dxfId="0">
      <pivotArea collapsedLevelsAreSubtotals="1" fieldPosition="0">
        <references count="1">
          <reference field="0" count="0"/>
        </references>
      </pivotArea>
    </format>
  </format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45">
    <pivotHierarchy dragToData="1"/>
    <pivotHierarchy dragToData="1"/>
    <pivotHierarchy dragToData="1"/>
    <pivotHierarchy dragToData="1"/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multipleItemSelectionAllowed="1" dragToData="1"/>
    <pivotHierarchy dragToData="1"/>
    <pivotHierarchy multipleItemSelectionAllowed="1"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Dark11" showRowHeaders="1" showColHeaders="1" showRowStripes="0" showColStripes="0" showLastColumn="1"/>
  <rowHierarchiesUsage count="1">
    <rowHierarchyUsage hierarchyUsage="17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Plan kont]"/>
        <x15:activeTabTopLevelEntity name="[Koszty]"/>
        <x15:activeTabTopLevelEntity name="[Kalendarz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Fragmentator_Dysponent" xr10:uid="{D67415A7-BB89-4BDF-8622-C1804076128F}" sourceName="[Plan kont].[Dysponent]">
  <pivotTables>
    <pivotTable tabId="1" name="Tabela przestawna1"/>
    <pivotTable tabId="1" name="Tabela przestawna3"/>
    <pivotTable tabId="4" name="Tabela przestawna1"/>
    <pivotTable tabId="4" name="Tabela przestawna2"/>
    <pivotTable tabId="4" name="Tabela przestawna3"/>
    <pivotTable tabId="4" name="Tabela przestawna4"/>
    <pivotTable tabId="4" name="Tabela przestawna5"/>
    <pivotTable tabId="4" name="Tabela przestawna6"/>
  </pivotTables>
  <data>
    <olap pivotCacheId="355793859">
      <levels count="2">
        <level uniqueName="[Plan kont].[Dysponent].[(All)]" sourceCaption="(All)" count="0"/>
        <level uniqueName="[Plan kont].[Dysponent].[Dysponent]" sourceCaption="Dysponent" count="4">
          <ranges>
            <range startItem="0">
              <i n="[Plan kont].[Dysponent].&amp;[Ania]" c="Ania"/>
              <i n="[Plan kont].[Dysponent].&amp;[Basia]" c="Basia"/>
              <i n="[Plan kont].[Dysponent].&amp;[Krzysztof]" c="Krzysztof"/>
              <i n="[Plan kont].[Dysponent].&amp;[Zenek]" c="Zenek"/>
            </range>
          </ranges>
        </level>
      </levels>
      <selections count="1">
        <selection n="[Plan kont].[Dysponent].[All]"/>
      </selections>
    </olap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Fragmentator_Grupa_kosztowa" xr10:uid="{CBEB8074-C677-4575-9FD9-316D9EFC45CF}" sourceName="[Plan kont].[Grupa kosztowa]">
  <pivotTables>
    <pivotTable tabId="1" name="Tabela przestawna1"/>
    <pivotTable tabId="1" name="Tabela przestawna3"/>
    <pivotTable tabId="4" name="Tabela przestawna1"/>
    <pivotTable tabId="4" name="Tabela przestawna2"/>
    <pivotTable tabId="4" name="Tabela przestawna3"/>
    <pivotTable tabId="4" name="Tabela przestawna4"/>
    <pivotTable tabId="4" name="Tabela przestawna5"/>
    <pivotTable tabId="4" name="Tabela przestawna6"/>
  </pivotTables>
  <data>
    <olap pivotCacheId="355793859">
      <levels count="2">
        <level uniqueName="[Plan kont].[Grupa kosztowa].[(All)]" sourceCaption="(All)" count="0"/>
        <level uniqueName="[Plan kont].[Grupa kosztowa].[Grupa kosztowa]" sourceCaption="Grupa kosztowa" count="8">
          <ranges>
            <range startItem="0">
              <i n="[Plan kont].[Grupa kosztowa].&amp;[01 Amortyzacja]" c="01 Amortyzacja"/>
              <i n="[Plan kont].[Grupa kosztowa].&amp;[02 Materiały]" c="02 Materiały"/>
              <i n="[Plan kont].[Grupa kosztowa].&amp;[03 Usługi]" c="03 Usługi"/>
              <i n="[Plan kont].[Grupa kosztowa].&amp;[04 Podatki i opłaty]" c="04 Podatki i opłaty"/>
              <i n="[Plan kont].[Grupa kosztowa].&amp;[05 Wynagrodzenia]" c="05 Wynagrodzenia"/>
              <i n="[Plan kont].[Grupa kosztowa].&amp;[06 ZUS i inne świadczenia]" c="06 ZUS i inne świadczenia"/>
              <i n="[Plan kont].[Grupa kosztowa].&amp;[08 Reklama i marketing]" c="08 Reklama i marketing"/>
              <i n="[Plan kont].[Grupa kosztowa].&amp;[09 Pozostałe koszty rodzajowe]" c="09 Pozostałe koszty rodzajowe"/>
            </range>
          </ranges>
        </level>
      </levels>
      <selections count="1">
        <selection n="[Plan kont].[Grupa kosztowa].[All]"/>
      </selections>
    </olap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Fragmentator_MPK" xr10:uid="{F37CA22E-5068-4929-990C-10938C3B8783}" sourceName="[Plan kont].[MPK]">
  <pivotTables>
    <pivotTable tabId="1" name="Tabela przestawna1"/>
    <pivotTable tabId="1" name="Tabela przestawna3"/>
    <pivotTable tabId="4" name="Tabela przestawna1"/>
    <pivotTable tabId="4" name="Tabela przestawna2"/>
    <pivotTable tabId="4" name="Tabela przestawna3"/>
    <pivotTable tabId="4" name="Tabela przestawna4"/>
    <pivotTable tabId="4" name="Tabela przestawna5"/>
    <pivotTable tabId="4" name="Tabela przestawna6"/>
  </pivotTables>
  <data>
    <olap pivotCacheId="355793859">
      <levels count="2">
        <level uniqueName="[Plan kont].[MPK].[(All)]" sourceCaption="(All)" count="0"/>
        <level uniqueName="[Plan kont].[MPK].[MPK]" sourceCaption="MPK" count="13">
          <ranges>
            <range startItem="0">
              <i n="[Plan kont].[MPK].&amp;[301 Zakład nr 1]" c="301 Zakład nr 1"/>
              <i n="[Plan kont].[MPK].&amp;[302 Zakład nr 2]" c="302 Zakład nr 2"/>
              <i n="[Plan kont].[MPK].&amp;[303 Zakład nr 3]" c="303 Zakład nr 3"/>
              <i n="[Plan kont].[MPK].&amp;[305 Zakład nr 5]" c="305 Zakład nr 5"/>
              <i n="[Plan kont].[MPK].&amp;[306 Zakład nr 6]" c="306 Zakład nr 6"/>
              <i n="[Plan kont].[MPK].&amp;[308 Zakład nr 8]" c="308 Zakład nr 8"/>
              <i n="[Plan kont].[MPK].&amp;[309 Zakład nr 9]" c="309 Zakład nr 9"/>
              <i n="[Plan kont].[MPK].&amp;[411 Dział nieruchomości]" c="411 Dział nieruchomości"/>
              <i n="[Plan kont].[MPK].&amp;[412 Dział techniczny]" c="412 Dział techniczny"/>
              <i n="[Plan kont].[MPK].&amp;[513 Dział marketingu]" c="513 Dział marketingu"/>
              <i n="[Plan kont].[MPK].&amp;[517 Administracja]" c="517 Administracja"/>
              <i n="[Plan kont].[MPK].&amp;[518 Dział inwestycyjny]" c="518 Dział inwestycyjny"/>
              <i n="[Plan kont].[MPK].&amp;[521 Zarząd]" c="521 Zarząd"/>
            </range>
          </ranges>
        </level>
      </levels>
      <selections count="1">
        <selection n="[Plan kont].[MPK].[All]"/>
      </selections>
    </olap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Dysponent" xr10:uid="{19657897-F32A-4DCE-9DE1-BC11F0CF7D99}" cache="Fragmentator_Dysponent" caption="Dysponent" level="1" style="SlicerStyleLight3 3" rowHeight="234950"/>
  <slicer name="Grupa kosztowa" xr10:uid="{FCDA8BC4-EB5E-455B-AF0F-0F97E5B1457D}" cache="Fragmentator_Grupa_kosztowa" caption="Grupa kosztowa" level="1" style="SlicerStyleLight3 3" rowHeight="234950"/>
  <slicer name="MPK" xr10:uid="{4AFAEAF4-FBF1-4E6B-B561-ED89B163582B}" cache="Fragmentator_MPK" caption="MPK" level="1" style="SlicerStyleLight3 3" rowHeight="234950"/>
</slicer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imelineCaches/timelineCache1.xml><?xml version="1.0" encoding="utf-8"?>
<timelineCacheDefinition xmlns="http://schemas.microsoft.com/office/spreadsheetml/2010/11/main" xmlns:x15="http://schemas.microsoft.com/office/spreadsheetml/2010/11/main" xmlns:mc="http://schemas.openxmlformats.org/markup-compatibility/2006" xmlns:xr10="http://schemas.microsoft.com/office/spreadsheetml/2016/revision10" mc:Ignorable="xr10" name="OśCzasu_Data" xr10:uid="{130C5F14-B2C5-43A9-8E9A-27587C53EB0D}" sourceName="[Kalendarz].[Data]">
  <pivotTables>
    <pivotTable tabId="1" name="Tabela przestawna1"/>
    <pivotTable tabId="1" name="Tabela przestawna3"/>
    <pivotTable tabId="4" name="Tabela przestawna1"/>
    <pivotTable tabId="4" name="Tabela przestawna2"/>
    <pivotTable tabId="4" name="Tabela przestawna3"/>
    <pivotTable tabId="4" name="Tabela przestawna4"/>
    <pivotTable tabId="4" name="Tabela przestawna5"/>
    <pivotTable tabId="4" name="Tabela przestawna6"/>
  </pivotTables>
  <state minimalRefreshVersion="6" lastRefreshVersion="6" pivotCacheId="474557165" filterType="unknown">
    <bounds startDate="2025-01-01T00:00:00" endDate="2027-01-01T00:00:00"/>
  </state>
</timelineCacheDefinition>
</file>

<file path=xl/timelines/timeline1.xml><?xml version="1.0" encoding="utf-8"?>
<timelines xmlns="http://schemas.microsoft.com/office/spreadsheetml/2010/11/main" xmlns:mc="http://schemas.openxmlformats.org/markup-compatibility/2006" xmlns:x="http://schemas.openxmlformats.org/spreadsheetml/2006/main" xmlns:xr10="http://schemas.microsoft.com/office/spreadsheetml/2016/revision10" mc:Ignorable="x xr10">
  <timeline name="Data" xr10:uid="{61CCA4D2-005F-4F69-B97F-FD6571A94584}" cache="OśCzasu_Data" caption="Data" level="2" selectionLevel="2" scrollPosition="2026-07-13T00:00:00" style="TimeSlicerStyleDark3 2"/>
</timeline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microsoft.com/office/2011/relationships/timeline" Target="../timelines/timeline1.xml"/><Relationship Id="rId5" Type="http://schemas.microsoft.com/office/2007/relationships/slicer" Target="../slicers/slicer1.xm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5.xml"/><Relationship Id="rId2" Type="http://schemas.openxmlformats.org/officeDocument/2006/relationships/pivotTable" Target="../pivotTables/pivotTable4.xml"/><Relationship Id="rId1" Type="http://schemas.openxmlformats.org/officeDocument/2006/relationships/pivotTable" Target="../pivotTables/pivotTable3.xml"/><Relationship Id="rId6" Type="http://schemas.openxmlformats.org/officeDocument/2006/relationships/pivotTable" Target="../pivotTables/pivotTable8.xml"/><Relationship Id="rId5" Type="http://schemas.openxmlformats.org/officeDocument/2006/relationships/pivotTable" Target="../pivotTables/pivotTable7.xml"/><Relationship Id="rId4" Type="http://schemas.openxmlformats.org/officeDocument/2006/relationships/pivotTable" Target="../pivotTables/pivot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T56"/>
  <sheetViews>
    <sheetView showGridLines="0" tabSelected="1" zoomScale="85" zoomScaleNormal="85" workbookViewId="0">
      <selection activeCell="B2" sqref="B2:F3"/>
    </sheetView>
  </sheetViews>
  <sheetFormatPr defaultRowHeight="14.4" x14ac:dyDescent="0.3"/>
  <cols>
    <col min="1" max="1" width="2.77734375" customWidth="1"/>
    <col min="2" max="2" width="26.109375" customWidth="1"/>
    <col min="3" max="4" width="13.5546875" bestFit="1" customWidth="1"/>
    <col min="5" max="5" width="21.77734375" bestFit="1" customWidth="1"/>
    <col min="6" max="6" width="23" bestFit="1" customWidth="1"/>
    <col min="7" max="7" width="8.21875" bestFit="1" customWidth="1"/>
    <col min="8" max="8" width="26.5546875" customWidth="1"/>
    <col min="9" max="9" width="8.21875" bestFit="1" customWidth="1"/>
    <col min="10" max="10" width="9.88671875" bestFit="1" customWidth="1"/>
    <col min="11" max="11" width="4.109375" customWidth="1"/>
    <col min="12" max="12" width="27" customWidth="1"/>
    <col min="13" max="13" width="15.5546875" customWidth="1"/>
    <col min="14" max="14" width="13.5546875" bestFit="1" customWidth="1"/>
    <col min="15" max="15" width="12.77734375" customWidth="1"/>
    <col min="16" max="16" width="12.33203125" customWidth="1"/>
    <col min="17" max="17" width="6.77734375" bestFit="1" customWidth="1"/>
    <col min="18" max="18" width="19.88671875" bestFit="1" customWidth="1"/>
    <col min="19" max="19" width="6.77734375" bestFit="1" customWidth="1"/>
    <col min="20" max="20" width="3.33203125" customWidth="1"/>
    <col min="21" max="25" width="17.21875" bestFit="1" customWidth="1"/>
    <col min="26" max="26" width="14" bestFit="1" customWidth="1"/>
    <col min="27" max="27" width="15.33203125" bestFit="1" customWidth="1"/>
    <col min="28" max="28" width="15.6640625" bestFit="1" customWidth="1"/>
    <col min="29" max="29" width="19.6640625" bestFit="1" customWidth="1"/>
    <col min="30" max="30" width="18.33203125" bestFit="1" customWidth="1"/>
    <col min="31" max="31" width="15.33203125" bestFit="1" customWidth="1"/>
    <col min="32" max="32" width="15.6640625" bestFit="1" customWidth="1"/>
    <col min="33" max="33" width="19.6640625" bestFit="1" customWidth="1"/>
    <col min="34" max="34" width="18.33203125" bestFit="1" customWidth="1"/>
    <col min="35" max="35" width="15.33203125" bestFit="1" customWidth="1"/>
    <col min="36" max="36" width="15.6640625" bestFit="1" customWidth="1"/>
    <col min="37" max="37" width="19.6640625" bestFit="1" customWidth="1"/>
    <col min="38" max="38" width="18.33203125" bestFit="1" customWidth="1"/>
    <col min="39" max="39" width="15.33203125" bestFit="1" customWidth="1"/>
    <col min="40" max="40" width="15.6640625" bestFit="1" customWidth="1"/>
    <col min="41" max="41" width="19.6640625" bestFit="1" customWidth="1"/>
    <col min="42" max="42" width="18.33203125" bestFit="1" customWidth="1"/>
    <col min="43" max="43" width="15.33203125" bestFit="1" customWidth="1"/>
    <col min="44" max="44" width="15.6640625" bestFit="1" customWidth="1"/>
    <col min="45" max="45" width="19.6640625" bestFit="1" customWidth="1"/>
    <col min="46" max="46" width="18.33203125" bestFit="1" customWidth="1"/>
    <col min="47" max="47" width="15.33203125" bestFit="1" customWidth="1"/>
    <col min="48" max="48" width="15.6640625" bestFit="1" customWidth="1"/>
    <col min="49" max="49" width="19.6640625" bestFit="1" customWidth="1"/>
    <col min="50" max="50" width="18.33203125" bestFit="1" customWidth="1"/>
    <col min="51" max="51" width="22.21875" bestFit="1" customWidth="1"/>
    <col min="52" max="52" width="22.6640625" bestFit="1" customWidth="1"/>
    <col min="53" max="53" width="26.6640625" bestFit="1" customWidth="1"/>
    <col min="54" max="54" width="25.21875" bestFit="1" customWidth="1"/>
    <col min="55" max="55" width="22.21875" bestFit="1" customWidth="1"/>
    <col min="56" max="56" width="22.6640625" bestFit="1" customWidth="1"/>
    <col min="57" max="57" width="26.6640625" bestFit="1" customWidth="1"/>
    <col min="58" max="58" width="25.21875" bestFit="1" customWidth="1"/>
    <col min="59" max="59" width="15.33203125" bestFit="1" customWidth="1"/>
    <col min="60" max="60" width="15.6640625" bestFit="1" customWidth="1"/>
    <col min="61" max="61" width="19.6640625" bestFit="1" customWidth="1"/>
    <col min="62" max="62" width="18.33203125" bestFit="1" customWidth="1"/>
    <col min="63" max="63" width="15.33203125" bestFit="1" customWidth="1"/>
    <col min="64" max="64" width="15.6640625" bestFit="1" customWidth="1"/>
    <col min="65" max="65" width="19.6640625" bestFit="1" customWidth="1"/>
    <col min="66" max="66" width="18.33203125" bestFit="1" customWidth="1"/>
    <col min="67" max="67" width="15.33203125" bestFit="1" customWidth="1"/>
    <col min="68" max="68" width="15.6640625" bestFit="1" customWidth="1"/>
    <col min="69" max="69" width="19.6640625" bestFit="1" customWidth="1"/>
    <col min="70" max="70" width="18.33203125" bestFit="1" customWidth="1"/>
    <col min="71" max="71" width="15.33203125" bestFit="1" customWidth="1"/>
    <col min="72" max="72" width="15.6640625" bestFit="1" customWidth="1"/>
    <col min="73" max="73" width="19.6640625" bestFit="1" customWidth="1"/>
    <col min="74" max="74" width="18.33203125" bestFit="1" customWidth="1"/>
    <col min="75" max="75" width="15.33203125" bestFit="1" customWidth="1"/>
    <col min="76" max="76" width="15.6640625" bestFit="1" customWidth="1"/>
    <col min="77" max="77" width="19.6640625" bestFit="1" customWidth="1"/>
    <col min="78" max="78" width="18.33203125" bestFit="1" customWidth="1"/>
    <col min="79" max="79" width="15.33203125" bestFit="1" customWidth="1"/>
    <col min="80" max="80" width="15.6640625" bestFit="1" customWidth="1"/>
    <col min="81" max="81" width="19.6640625" bestFit="1" customWidth="1"/>
    <col min="82" max="82" width="18.33203125" bestFit="1" customWidth="1"/>
    <col min="83" max="83" width="15.33203125" bestFit="1" customWidth="1"/>
    <col min="84" max="84" width="15.6640625" bestFit="1" customWidth="1"/>
    <col min="85" max="85" width="19.6640625" bestFit="1" customWidth="1"/>
    <col min="86" max="86" width="18.33203125" bestFit="1" customWidth="1"/>
    <col min="87" max="87" width="15.33203125" bestFit="1" customWidth="1"/>
    <col min="88" max="88" width="15.6640625" bestFit="1" customWidth="1"/>
    <col min="89" max="89" width="19.6640625" bestFit="1" customWidth="1"/>
    <col min="90" max="90" width="18.33203125" bestFit="1" customWidth="1"/>
    <col min="91" max="91" width="15.33203125" bestFit="1" customWidth="1"/>
    <col min="92" max="92" width="15.6640625" bestFit="1" customWidth="1"/>
    <col min="93" max="93" width="19.6640625" bestFit="1" customWidth="1"/>
    <col min="94" max="94" width="18.33203125" bestFit="1" customWidth="1"/>
    <col min="95" max="95" width="15.33203125" bestFit="1" customWidth="1"/>
    <col min="96" max="96" width="15.6640625" bestFit="1" customWidth="1"/>
    <col min="97" max="97" width="19.6640625" bestFit="1" customWidth="1"/>
    <col min="98" max="98" width="18.33203125" bestFit="1" customWidth="1"/>
    <col min="99" max="99" width="22.21875" bestFit="1" customWidth="1"/>
    <col min="100" max="100" width="22.6640625" bestFit="1" customWidth="1"/>
    <col min="101" max="101" width="26.6640625" bestFit="1" customWidth="1"/>
    <col min="102" max="102" width="25.21875" bestFit="1" customWidth="1"/>
  </cols>
  <sheetData>
    <row r="1" spans="1:20" ht="11.4" customHeight="1" x14ac:dyDescent="0.3">
      <c r="A1" s="9"/>
      <c r="B1" s="10"/>
      <c r="C1" s="11"/>
      <c r="D1" s="11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2"/>
    </row>
    <row r="2" spans="1:20" ht="43.8" customHeight="1" x14ac:dyDescent="0.6">
      <c r="A2" s="13"/>
      <c r="B2" s="53" t="s">
        <v>65</v>
      </c>
      <c r="C2" s="53"/>
      <c r="D2" s="53"/>
      <c r="E2" s="53"/>
      <c r="F2" s="53"/>
      <c r="G2" s="6"/>
      <c r="H2" s="28">
        <f>GETPIVOTDATA("[Measures].[M05.Koszty 2026]",Pomocniczy!$A$1)</f>
        <v>26302095.120000001</v>
      </c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14"/>
    </row>
    <row r="3" spans="1:20" ht="18" x14ac:dyDescent="0.35">
      <c r="A3" s="15"/>
      <c r="B3" s="53"/>
      <c r="C3" s="53"/>
      <c r="D3" s="53"/>
      <c r="E3" s="53"/>
      <c r="F3" s="53"/>
      <c r="G3" s="6"/>
      <c r="H3" s="20" t="s">
        <v>71</v>
      </c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14"/>
    </row>
    <row r="4" spans="1:20" x14ac:dyDescent="0.3">
      <c r="A4" s="15"/>
      <c r="B4" s="6"/>
      <c r="C4" s="6"/>
      <c r="D4" s="6"/>
      <c r="E4" s="6"/>
      <c r="F4" s="6"/>
      <c r="G4" s="6"/>
      <c r="H4" s="21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14"/>
    </row>
    <row r="5" spans="1:20" x14ac:dyDescent="0.3">
      <c r="A5" s="15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14"/>
    </row>
    <row r="6" spans="1:20" x14ac:dyDescent="0.3">
      <c r="A6" s="15"/>
      <c r="B6" s="22"/>
      <c r="C6" s="22"/>
      <c r="D6" s="22"/>
      <c r="E6" s="22"/>
      <c r="F6" s="22"/>
      <c r="G6" s="6"/>
      <c r="H6" s="19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14"/>
    </row>
    <row r="7" spans="1:20" ht="31.2" x14ac:dyDescent="0.6">
      <c r="A7" s="15"/>
      <c r="B7" s="24" t="s">
        <v>73</v>
      </c>
      <c r="C7" s="22"/>
      <c r="D7" s="22"/>
      <c r="E7" s="22"/>
      <c r="F7" s="27">
        <f>GETPIVOTDATA("[Measures].[M15.Max Odchylenie MPK]",Pomocniczy!$A$61)</f>
        <v>3732885.6300000004</v>
      </c>
      <c r="G7" s="6"/>
      <c r="H7" s="28">
        <f>GETPIVOTDATA("[Measures].[M06.Budżet 2026]",Pomocniczy!$A$1)</f>
        <v>20165978.030000001</v>
      </c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14"/>
    </row>
    <row r="8" spans="1:20" ht="23.4" x14ac:dyDescent="0.45">
      <c r="A8" s="15"/>
      <c r="B8" s="24" t="s">
        <v>76</v>
      </c>
      <c r="C8" s="26"/>
      <c r="D8" s="22"/>
      <c r="E8" s="26"/>
      <c r="F8" s="25" t="str">
        <f>Pomocniczy!A63</f>
        <v>521 Zarząd</v>
      </c>
      <c r="G8" s="6"/>
      <c r="H8" s="20" t="s">
        <v>72</v>
      </c>
      <c r="I8" s="7"/>
      <c r="J8" s="6"/>
      <c r="K8" s="7"/>
      <c r="L8" s="6"/>
      <c r="M8" s="6"/>
      <c r="N8" s="6"/>
      <c r="O8" s="6"/>
      <c r="P8" s="6"/>
      <c r="Q8" s="6"/>
      <c r="R8" s="6"/>
      <c r="S8" s="6"/>
      <c r="T8" s="14"/>
    </row>
    <row r="9" spans="1:20" x14ac:dyDescent="0.3">
      <c r="A9" s="15"/>
      <c r="B9" s="22"/>
      <c r="C9" s="26"/>
      <c r="D9" s="22"/>
      <c r="E9" s="26"/>
      <c r="F9" s="22"/>
      <c r="G9" s="6"/>
      <c r="H9" s="21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14"/>
    </row>
    <row r="10" spans="1:20" x14ac:dyDescent="0.3">
      <c r="A10" s="15"/>
      <c r="B10" s="6"/>
      <c r="C10" s="7"/>
      <c r="D10" s="6"/>
      <c r="E10" s="7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14"/>
    </row>
    <row r="11" spans="1:20" x14ac:dyDescent="0.3">
      <c r="A11" s="15"/>
      <c r="G11" s="6"/>
      <c r="H11" s="22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14"/>
    </row>
    <row r="12" spans="1:20" ht="31.2" x14ac:dyDescent="0.6">
      <c r="A12" s="15"/>
      <c r="B12" s="24" t="s">
        <v>74</v>
      </c>
      <c r="C12" s="22"/>
      <c r="D12" s="22"/>
      <c r="E12" s="22"/>
      <c r="F12" s="27">
        <f>GETPIVOTDATA("[Measures].[M16.Min Odchylenie MPK]",Pomocniczy!$A$61)</f>
        <v>-1783501.58</v>
      </c>
      <c r="G12" s="6"/>
      <c r="H12" s="29">
        <f>GETPIVOTDATA("[Measures].[M07.Odchylenie 2026]",Pomocniczy!$A$1)</f>
        <v>6136117.0899999999</v>
      </c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14"/>
    </row>
    <row r="13" spans="1:20" ht="23.4" x14ac:dyDescent="0.45">
      <c r="A13" s="15"/>
      <c r="B13" s="24" t="s">
        <v>76</v>
      </c>
      <c r="C13" s="26"/>
      <c r="D13" s="22"/>
      <c r="E13" s="26"/>
      <c r="F13" s="25" t="str">
        <f>Pomocniczy!B63</f>
        <v>303 Zakład nr 3</v>
      </c>
      <c r="G13" s="6"/>
      <c r="H13" s="20" t="s">
        <v>66</v>
      </c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14"/>
    </row>
    <row r="14" spans="1:20" ht="22.8" customHeight="1" x14ac:dyDescent="0.3">
      <c r="A14" s="15"/>
      <c r="B14" s="22"/>
      <c r="C14" s="22"/>
      <c r="D14" s="22"/>
      <c r="E14" s="22"/>
      <c r="F14" s="22"/>
      <c r="G14" s="6"/>
      <c r="H14" s="22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14"/>
    </row>
    <row r="15" spans="1:20" x14ac:dyDescent="0.3">
      <c r="A15" s="15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14"/>
    </row>
    <row r="16" spans="1:20" x14ac:dyDescent="0.3">
      <c r="A16" s="15"/>
      <c r="G16" s="6"/>
      <c r="H16" s="22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14"/>
    </row>
    <row r="17" spans="1:20" ht="31.2" x14ac:dyDescent="0.6">
      <c r="A17" s="15"/>
      <c r="B17" s="24" t="s">
        <v>75</v>
      </c>
      <c r="C17" s="22"/>
      <c r="D17" s="22"/>
      <c r="E17" s="22"/>
      <c r="F17" s="27">
        <f>GETPIVOTDATA("[Measures].[M17.Max Koszty Grupa]",Pomocniczy!$A$61)</f>
        <v>11463275.210000001</v>
      </c>
      <c r="G17" s="6"/>
      <c r="H17" s="23">
        <f>GETPIVOTDATA("[Measures].[M08.Realizacja 2026]",Pomocniczy!$A$1)</f>
        <v>1.3042806592802778</v>
      </c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14"/>
    </row>
    <row r="18" spans="1:20" ht="23.4" x14ac:dyDescent="0.45">
      <c r="A18" s="15"/>
      <c r="B18" s="24" t="s">
        <v>77</v>
      </c>
      <c r="C18" s="26"/>
      <c r="D18" s="22"/>
      <c r="E18" s="26"/>
      <c r="F18" s="25" t="str">
        <f>Pomocniczy!C63</f>
        <v>03 Usługi</v>
      </c>
      <c r="G18" s="6"/>
      <c r="H18" s="20" t="s">
        <v>67</v>
      </c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14"/>
    </row>
    <row r="19" spans="1:20" x14ac:dyDescent="0.3">
      <c r="A19" s="15"/>
      <c r="B19" s="26"/>
      <c r="C19" s="26"/>
      <c r="D19" s="26"/>
      <c r="E19" s="26"/>
      <c r="F19" s="26"/>
      <c r="G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14"/>
    </row>
    <row r="20" spans="1:20" x14ac:dyDescent="0.3">
      <c r="A20" s="15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14"/>
    </row>
    <row r="21" spans="1:20" x14ac:dyDescent="0.3">
      <c r="A21" s="15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14"/>
    </row>
    <row r="22" spans="1:20" x14ac:dyDescent="0.3">
      <c r="A22" s="15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14"/>
    </row>
    <row r="23" spans="1:20" x14ac:dyDescent="0.3">
      <c r="A23" s="15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14"/>
    </row>
    <row r="24" spans="1:20" x14ac:dyDescent="0.3">
      <c r="A24" s="15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14"/>
    </row>
    <row r="25" spans="1:20" x14ac:dyDescent="0.3">
      <c r="A25" s="15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14"/>
    </row>
    <row r="26" spans="1:20" x14ac:dyDescent="0.3">
      <c r="A26" s="15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14"/>
    </row>
    <row r="27" spans="1:20" x14ac:dyDescent="0.3">
      <c r="A27" s="15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14"/>
    </row>
    <row r="28" spans="1:20" x14ac:dyDescent="0.3">
      <c r="A28" s="15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14"/>
    </row>
    <row r="29" spans="1:20" x14ac:dyDescent="0.3">
      <c r="A29" s="15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5"/>
      <c r="O29" s="6"/>
      <c r="P29" s="8"/>
      <c r="Q29" s="6"/>
      <c r="R29" s="6"/>
      <c r="S29" s="6"/>
      <c r="T29" s="14"/>
    </row>
    <row r="30" spans="1:20" x14ac:dyDescent="0.3">
      <c r="A30" s="15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5"/>
      <c r="O30" s="6"/>
      <c r="P30" s="6"/>
      <c r="Q30" s="6"/>
      <c r="R30" s="6"/>
      <c r="S30" s="6"/>
      <c r="T30" s="14"/>
    </row>
    <row r="31" spans="1:20" x14ac:dyDescent="0.3">
      <c r="A31" s="15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14"/>
    </row>
    <row r="32" spans="1:20" x14ac:dyDescent="0.3">
      <c r="A32" s="15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14"/>
    </row>
    <row r="33" spans="1:20" x14ac:dyDescent="0.3">
      <c r="A33" s="15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14"/>
    </row>
    <row r="34" spans="1:20" x14ac:dyDescent="0.3">
      <c r="A34" s="15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14"/>
    </row>
    <row r="35" spans="1:20" x14ac:dyDescent="0.3">
      <c r="A35" s="15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14"/>
    </row>
    <row r="36" spans="1:20" x14ac:dyDescent="0.3">
      <c r="A36" s="15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14"/>
    </row>
    <row r="37" spans="1:20" x14ac:dyDescent="0.3">
      <c r="A37" s="15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14"/>
    </row>
    <row r="38" spans="1:20" x14ac:dyDescent="0.3">
      <c r="A38" s="15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14"/>
    </row>
    <row r="39" spans="1:20" x14ac:dyDescent="0.3">
      <c r="A39" s="15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14"/>
    </row>
    <row r="40" spans="1:20" x14ac:dyDescent="0.3">
      <c r="A40" s="15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14"/>
    </row>
    <row r="41" spans="1:20" ht="28.8" x14ac:dyDescent="0.3">
      <c r="A41" s="15"/>
      <c r="B41" s="40" t="s">
        <v>39</v>
      </c>
      <c r="C41" s="45" t="s">
        <v>41</v>
      </c>
      <c r="D41" s="46" t="s">
        <v>42</v>
      </c>
      <c r="E41" s="46" t="s">
        <v>45</v>
      </c>
      <c r="F41" s="47" t="s">
        <v>44</v>
      </c>
      <c r="G41" s="46" t="s">
        <v>47</v>
      </c>
      <c r="H41" s="46" t="s">
        <v>50</v>
      </c>
      <c r="I41" s="46" t="s">
        <v>48</v>
      </c>
      <c r="J41" s="48" t="s">
        <v>43</v>
      </c>
      <c r="K41" s="6"/>
      <c r="L41" s="40" t="s">
        <v>39</v>
      </c>
      <c r="M41" s="45" t="s">
        <v>46</v>
      </c>
      <c r="N41" s="46" t="s">
        <v>41</v>
      </c>
      <c r="O41" s="46" t="s">
        <v>49</v>
      </c>
      <c r="P41" s="47" t="s">
        <v>44</v>
      </c>
      <c r="Q41" s="46" t="s">
        <v>47</v>
      </c>
      <c r="R41" s="46" t="s">
        <v>50</v>
      </c>
      <c r="S41" s="48" t="s">
        <v>48</v>
      </c>
      <c r="T41" s="14"/>
    </row>
    <row r="42" spans="1:20" x14ac:dyDescent="0.3">
      <c r="A42" s="15"/>
      <c r="B42" s="41" t="s">
        <v>12</v>
      </c>
      <c r="C42" s="34">
        <v>222486</v>
      </c>
      <c r="D42" s="35">
        <v>29042.7</v>
      </c>
      <c r="E42" s="35">
        <v>193443.3</v>
      </c>
      <c r="F42" s="36">
        <v>6.6606513857182694</v>
      </c>
      <c r="G42" s="36">
        <v>6.6606513857182694</v>
      </c>
      <c r="H42" s="36">
        <v>6.6606513857182694</v>
      </c>
      <c r="I42" s="36">
        <v>6.6606513857182694</v>
      </c>
      <c r="J42" s="37">
        <v>7.6606513857182694</v>
      </c>
      <c r="K42" s="6"/>
      <c r="L42" s="41" t="s">
        <v>11</v>
      </c>
      <c r="M42" s="34">
        <v>1709095.79</v>
      </c>
      <c r="N42" s="35">
        <v>2438331.79</v>
      </c>
      <c r="O42" s="35">
        <v>729236</v>
      </c>
      <c r="P42" s="36">
        <v>0.42667941976499746</v>
      </c>
      <c r="Q42" s="36">
        <v>0.42667941976499746</v>
      </c>
      <c r="R42" s="36">
        <v>0.42667941976499746</v>
      </c>
      <c r="S42" s="37">
        <v>0.42667941976499746</v>
      </c>
      <c r="T42" s="14"/>
    </row>
    <row r="43" spans="1:20" x14ac:dyDescent="0.3">
      <c r="A43" s="15"/>
      <c r="B43" s="42" t="s">
        <v>13</v>
      </c>
      <c r="C43" s="38">
        <v>4714807.24</v>
      </c>
      <c r="D43" s="3">
        <v>981921.61</v>
      </c>
      <c r="E43" s="3">
        <v>3732885.6300000004</v>
      </c>
      <c r="F43" s="4">
        <v>3.8016126664123426</v>
      </c>
      <c r="G43" s="4">
        <v>3.8016126664123426</v>
      </c>
      <c r="H43" s="4">
        <v>3.8016126664123426</v>
      </c>
      <c r="I43" s="4">
        <v>3.8016126664123426</v>
      </c>
      <c r="J43" s="30">
        <v>4.8016126664123426</v>
      </c>
      <c r="K43" s="6"/>
      <c r="L43" s="42" t="s">
        <v>8</v>
      </c>
      <c r="M43" s="38">
        <v>534841.23</v>
      </c>
      <c r="N43" s="3">
        <v>719371.36</v>
      </c>
      <c r="O43" s="3">
        <v>184530.13</v>
      </c>
      <c r="P43" s="4">
        <v>0.34501852072997441</v>
      </c>
      <c r="Q43" s="4">
        <v>0.34501852072997441</v>
      </c>
      <c r="R43" s="4">
        <v>0.34501852072997441</v>
      </c>
      <c r="S43" s="30">
        <v>0.34501852072997441</v>
      </c>
      <c r="T43" s="14"/>
    </row>
    <row r="44" spans="1:20" x14ac:dyDescent="0.3">
      <c r="A44" s="15"/>
      <c r="B44" s="42" t="s">
        <v>5</v>
      </c>
      <c r="C44" s="38">
        <v>789723.58</v>
      </c>
      <c r="D44" s="3">
        <v>368456.93</v>
      </c>
      <c r="E44" s="3">
        <v>421266.64999999997</v>
      </c>
      <c r="F44" s="4">
        <v>1.1433267112115382</v>
      </c>
      <c r="G44" s="4">
        <v>1.1433267112115382</v>
      </c>
      <c r="H44" s="4">
        <v>1.1433267112115382</v>
      </c>
      <c r="I44" s="4">
        <v>1.1433267112115382</v>
      </c>
      <c r="J44" s="30">
        <v>2.1433267112115382</v>
      </c>
      <c r="K44" s="6"/>
      <c r="L44" s="42" t="s">
        <v>12</v>
      </c>
      <c r="M44" s="38">
        <v>189196.2</v>
      </c>
      <c r="N44" s="3">
        <v>222486</v>
      </c>
      <c r="O44" s="3">
        <v>33289.799999999988</v>
      </c>
      <c r="P44" s="4">
        <v>0.17595385108157557</v>
      </c>
      <c r="Q44" s="4">
        <v>0.17595385108157557</v>
      </c>
      <c r="R44" s="4">
        <v>0.17595385108157557</v>
      </c>
      <c r="S44" s="30">
        <v>0.17595385108157557</v>
      </c>
      <c r="T44" s="14"/>
    </row>
    <row r="45" spans="1:20" x14ac:dyDescent="0.3">
      <c r="A45" s="15"/>
      <c r="B45" s="42" t="s">
        <v>4</v>
      </c>
      <c r="C45" s="38">
        <v>73554.64</v>
      </c>
      <c r="D45" s="3">
        <v>40169.43</v>
      </c>
      <c r="E45" s="3">
        <v>33385.21</v>
      </c>
      <c r="F45" s="4">
        <v>0.83110987634128741</v>
      </c>
      <c r="G45" s="4">
        <v>0.83110987634128741</v>
      </c>
      <c r="H45" s="4">
        <v>0.83110987634128741</v>
      </c>
      <c r="I45" s="4">
        <v>0.83110987634128741</v>
      </c>
      <c r="J45" s="30">
        <v>1.8311098763412874</v>
      </c>
      <c r="K45" s="6"/>
      <c r="L45" s="42" t="s">
        <v>10</v>
      </c>
      <c r="M45" s="38">
        <v>1212141.8700000001</v>
      </c>
      <c r="N45" s="3">
        <v>1393403.29</v>
      </c>
      <c r="O45" s="3">
        <v>181261.41999999993</v>
      </c>
      <c r="P45" s="4">
        <v>0.14953812295915486</v>
      </c>
      <c r="Q45" s="4">
        <v>0.14953812295915486</v>
      </c>
      <c r="R45" s="4">
        <v>0.14953812295915486</v>
      </c>
      <c r="S45" s="30">
        <v>0.14953812295915486</v>
      </c>
      <c r="T45" s="14"/>
    </row>
    <row r="46" spans="1:20" x14ac:dyDescent="0.3">
      <c r="A46" s="15"/>
      <c r="B46" s="42" t="s">
        <v>7</v>
      </c>
      <c r="C46" s="38">
        <v>113649.87</v>
      </c>
      <c r="D46" s="3">
        <v>78770.880000000005</v>
      </c>
      <c r="E46" s="3">
        <v>34878.989999999991</v>
      </c>
      <c r="F46" s="4">
        <v>0.44279040681023224</v>
      </c>
      <c r="G46" s="4">
        <v>0.44279040681023224</v>
      </c>
      <c r="H46" s="4">
        <v>0.44279040681023224</v>
      </c>
      <c r="I46" s="4">
        <v>0.44279040681023224</v>
      </c>
      <c r="J46" s="30">
        <v>1.4427904068102322</v>
      </c>
      <c r="K46" s="6"/>
      <c r="L46" s="42" t="s">
        <v>9</v>
      </c>
      <c r="M46" s="38">
        <v>857164.64</v>
      </c>
      <c r="N46" s="3">
        <v>930777.49</v>
      </c>
      <c r="O46" s="3">
        <v>73612.849999999977</v>
      </c>
      <c r="P46" s="4">
        <v>8.587947584958705E-2</v>
      </c>
      <c r="Q46" s="4">
        <v>8.587947584958705E-2</v>
      </c>
      <c r="R46" s="4">
        <v>8.587947584958705E-2</v>
      </c>
      <c r="S46" s="30">
        <v>8.587947584958705E-2</v>
      </c>
      <c r="T46" s="14"/>
    </row>
    <row r="47" spans="1:20" x14ac:dyDescent="0.3">
      <c r="A47" s="15"/>
      <c r="B47" s="42" t="s">
        <v>10</v>
      </c>
      <c r="C47" s="38">
        <v>1393403.29</v>
      </c>
      <c r="D47" s="3">
        <v>1052307.19</v>
      </c>
      <c r="E47" s="3">
        <v>341096.10000000009</v>
      </c>
      <c r="F47" s="4">
        <v>0.32414118542704257</v>
      </c>
      <c r="G47" s="4">
        <v>0.32414118542704257</v>
      </c>
      <c r="H47" s="4">
        <v>0.32414118542704257</v>
      </c>
      <c r="I47" s="4">
        <v>0.32414118542704257</v>
      </c>
      <c r="J47" s="30">
        <v>1.3241411854270426</v>
      </c>
      <c r="K47" s="6"/>
      <c r="L47" s="42" t="s">
        <v>13</v>
      </c>
      <c r="M47" s="38">
        <v>4636888.0999999996</v>
      </c>
      <c r="N47" s="3">
        <v>4714807.24</v>
      </c>
      <c r="O47" s="3">
        <v>77919.140000000596</v>
      </c>
      <c r="P47" s="4">
        <v>1.6804188136435857E-2</v>
      </c>
      <c r="Q47" s="4">
        <v>1.6804188136435857E-2</v>
      </c>
      <c r="R47" s="4">
        <v>1.6804188136435857E-2</v>
      </c>
      <c r="S47" s="30">
        <v>1.6804188136435857E-2</v>
      </c>
      <c r="T47" s="14"/>
    </row>
    <row r="48" spans="1:20" x14ac:dyDescent="0.3">
      <c r="A48" s="15"/>
      <c r="B48" s="42" t="s">
        <v>8</v>
      </c>
      <c r="C48" s="38">
        <v>719371.36</v>
      </c>
      <c r="D48" s="3">
        <v>552417.38</v>
      </c>
      <c r="E48" s="3">
        <v>166953.97999999998</v>
      </c>
      <c r="F48" s="4">
        <v>0.30222434348463112</v>
      </c>
      <c r="G48" s="4">
        <v>0.30222434348463112</v>
      </c>
      <c r="H48" s="4">
        <v>0.30222434348463112</v>
      </c>
      <c r="I48" s="4">
        <v>0.30222434348463112</v>
      </c>
      <c r="J48" s="30">
        <v>1.302224343484631</v>
      </c>
      <c r="K48" s="6"/>
      <c r="L48" s="42" t="s">
        <v>1</v>
      </c>
      <c r="M48" s="38">
        <v>13388727.23</v>
      </c>
      <c r="N48" s="3">
        <v>13306136.48</v>
      </c>
      <c r="O48" s="3">
        <v>-82590.75</v>
      </c>
      <c r="P48" s="4">
        <v>-6.1686782157261109E-3</v>
      </c>
      <c r="Q48" s="4">
        <v>-6.1686782157261109E-3</v>
      </c>
      <c r="R48" s="4">
        <v>-6.1686782157261109E-3</v>
      </c>
      <c r="S48" s="30">
        <v>-6.1686782157261109E-3</v>
      </c>
      <c r="T48" s="14"/>
    </row>
    <row r="49" spans="1:20" x14ac:dyDescent="0.3">
      <c r="A49" s="15"/>
      <c r="B49" s="42" t="s">
        <v>1</v>
      </c>
      <c r="C49" s="38">
        <v>13306136.48</v>
      </c>
      <c r="D49" s="3">
        <v>10809004.369999999</v>
      </c>
      <c r="E49" s="3">
        <v>2497132.1100000013</v>
      </c>
      <c r="F49" s="4">
        <v>0.23102332319623267</v>
      </c>
      <c r="G49" s="4">
        <v>0.23102332319623267</v>
      </c>
      <c r="H49" s="4">
        <v>0.23102332319623267</v>
      </c>
      <c r="I49" s="4">
        <v>0.23102332319623267</v>
      </c>
      <c r="J49" s="30">
        <v>1.2310233231962326</v>
      </c>
      <c r="K49" s="6"/>
      <c r="L49" s="42" t="s">
        <v>5</v>
      </c>
      <c r="M49" s="38">
        <v>871762.87</v>
      </c>
      <c r="N49" s="3">
        <v>789723.58</v>
      </c>
      <c r="O49" s="3">
        <v>-82039.290000000037</v>
      </c>
      <c r="P49" s="4">
        <v>-9.4107345957507957E-2</v>
      </c>
      <c r="Q49" s="4">
        <v>-9.4107345957507957E-2</v>
      </c>
      <c r="R49" s="4">
        <v>-9.4107345957507957E-2</v>
      </c>
      <c r="S49" s="30">
        <v>-9.4107345957507957E-2</v>
      </c>
      <c r="T49" s="14"/>
    </row>
    <row r="50" spans="1:20" x14ac:dyDescent="0.3">
      <c r="A50" s="15"/>
      <c r="B50" s="42" t="s">
        <v>9</v>
      </c>
      <c r="C50" s="38">
        <v>930777.49</v>
      </c>
      <c r="D50" s="3">
        <v>762250.6</v>
      </c>
      <c r="E50" s="3">
        <v>168526.89</v>
      </c>
      <c r="F50" s="4">
        <v>0.2210911870715484</v>
      </c>
      <c r="G50" s="4">
        <v>0.2210911870715484</v>
      </c>
      <c r="H50" s="4">
        <v>0.2210911870715484</v>
      </c>
      <c r="I50" s="4">
        <v>0.2210911870715484</v>
      </c>
      <c r="J50" s="30">
        <v>1.2210911870715484</v>
      </c>
      <c r="K50" s="6"/>
      <c r="L50" s="42" t="s">
        <v>6</v>
      </c>
      <c r="M50" s="38">
        <v>3995.76</v>
      </c>
      <c r="N50" s="3">
        <v>3441.36</v>
      </c>
      <c r="O50" s="3">
        <v>-554.40000000000009</v>
      </c>
      <c r="P50" s="4">
        <v>-0.13874707189620999</v>
      </c>
      <c r="Q50" s="4">
        <v>-0.13874707189620999</v>
      </c>
      <c r="R50" s="4">
        <v>-0.13874707189620999</v>
      </c>
      <c r="S50" s="30">
        <v>-0.13874707189620999</v>
      </c>
      <c r="T50" s="14"/>
    </row>
    <row r="51" spans="1:20" x14ac:dyDescent="0.3">
      <c r="A51" s="15"/>
      <c r="B51" s="42" t="s">
        <v>11</v>
      </c>
      <c r="C51" s="38">
        <v>2438331.79</v>
      </c>
      <c r="D51" s="3">
        <v>2262591.38</v>
      </c>
      <c r="E51" s="3">
        <v>175740.41000000015</v>
      </c>
      <c r="F51" s="4">
        <v>7.7672182239110335E-2</v>
      </c>
      <c r="G51" s="4">
        <v>7.7672182239110335E-2</v>
      </c>
      <c r="H51" s="4">
        <v>7.7672182239110335E-2</v>
      </c>
      <c r="I51" s="4">
        <v>7.7672182239110335E-2</v>
      </c>
      <c r="J51" s="30">
        <v>1.0776721822391104</v>
      </c>
      <c r="K51" s="6"/>
      <c r="L51" s="42" t="s">
        <v>3</v>
      </c>
      <c r="M51" s="38">
        <v>1786485.69</v>
      </c>
      <c r="N51" s="3">
        <v>1445543.98</v>
      </c>
      <c r="O51" s="3">
        <v>-340941.70999999996</v>
      </c>
      <c r="P51" s="4">
        <v>-0.19084491519212785</v>
      </c>
      <c r="Q51" s="4">
        <v>-0.19084491519212785</v>
      </c>
      <c r="R51" s="4">
        <v>-0.19084491519212785</v>
      </c>
      <c r="S51" s="30">
        <v>-0.19084491519212785</v>
      </c>
      <c r="T51" s="14"/>
    </row>
    <row r="52" spans="1:20" x14ac:dyDescent="0.3">
      <c r="A52" s="15"/>
      <c r="B52" s="42" t="s">
        <v>6</v>
      </c>
      <c r="C52" s="38">
        <v>3441.36</v>
      </c>
      <c r="D52" s="3"/>
      <c r="E52" s="3">
        <v>3441.36</v>
      </c>
      <c r="F52" s="4"/>
      <c r="G52" s="4"/>
      <c r="H52" s="4"/>
      <c r="I52" s="4"/>
      <c r="J52" s="30"/>
      <c r="K52" s="6"/>
      <c r="L52" s="42" t="s">
        <v>7</v>
      </c>
      <c r="M52" s="38">
        <v>164840.81</v>
      </c>
      <c r="N52" s="3">
        <v>113649.87</v>
      </c>
      <c r="O52" s="3">
        <v>-51190.94</v>
      </c>
      <c r="P52" s="4">
        <v>-0.31054773390157453</v>
      </c>
      <c r="Q52" s="4">
        <v>-0.31054773390157453</v>
      </c>
      <c r="R52" s="4">
        <v>-0.31054773390157453</v>
      </c>
      <c r="S52" s="30">
        <v>-0.31054773390157453</v>
      </c>
      <c r="T52" s="14"/>
    </row>
    <row r="53" spans="1:20" x14ac:dyDescent="0.3">
      <c r="A53" s="15"/>
      <c r="B53" s="42" t="s">
        <v>2</v>
      </c>
      <c r="C53" s="38">
        <v>150868.04</v>
      </c>
      <c r="D53" s="3"/>
      <c r="E53" s="3">
        <v>150868.04</v>
      </c>
      <c r="F53" s="4"/>
      <c r="G53" s="4"/>
      <c r="H53" s="4"/>
      <c r="I53" s="4"/>
      <c r="J53" s="30"/>
      <c r="K53" s="6"/>
      <c r="L53" s="42" t="s">
        <v>4</v>
      </c>
      <c r="M53" s="38">
        <v>140118.89000000001</v>
      </c>
      <c r="N53" s="3">
        <v>73554.64</v>
      </c>
      <c r="O53" s="3">
        <v>-66564.250000000015</v>
      </c>
      <c r="P53" s="4">
        <v>-0.47505550465037233</v>
      </c>
      <c r="Q53" s="4">
        <v>-0.47505550465037233</v>
      </c>
      <c r="R53" s="4">
        <v>-0.47505550465037233</v>
      </c>
      <c r="S53" s="30">
        <v>-0.47505550465037233</v>
      </c>
      <c r="T53" s="14"/>
    </row>
    <row r="54" spans="1:20" x14ac:dyDescent="0.3">
      <c r="A54" s="15"/>
      <c r="B54" s="43" t="s">
        <v>3</v>
      </c>
      <c r="C54" s="38">
        <v>1445543.98</v>
      </c>
      <c r="D54" s="3">
        <v>3229045.56</v>
      </c>
      <c r="E54" s="3">
        <v>-1783501.58</v>
      </c>
      <c r="F54" s="4">
        <v>-0.55233088132705077</v>
      </c>
      <c r="G54" s="4">
        <v>-0.55233088132705077</v>
      </c>
      <c r="H54" s="4">
        <v>-0.55233088132705077</v>
      </c>
      <c r="I54" s="4">
        <v>-0.55233088132705077</v>
      </c>
      <c r="J54" s="30">
        <v>0.44766911867294928</v>
      </c>
      <c r="K54" s="6"/>
      <c r="L54" s="43" t="s">
        <v>2</v>
      </c>
      <c r="M54" s="38">
        <v>876625.13</v>
      </c>
      <c r="N54" s="3">
        <v>150868.04</v>
      </c>
      <c r="O54" s="3">
        <v>-725757.09</v>
      </c>
      <c r="P54" s="4">
        <v>-0.82789902452374364</v>
      </c>
      <c r="Q54" s="4">
        <v>-0.82789902452374364</v>
      </c>
      <c r="R54" s="4">
        <v>-0.82789902452374364</v>
      </c>
      <c r="S54" s="30">
        <v>-0.82789902452374364</v>
      </c>
      <c r="T54" s="14"/>
    </row>
    <row r="55" spans="1:20" x14ac:dyDescent="0.3">
      <c r="A55" s="15"/>
      <c r="B55" s="44" t="s">
        <v>14</v>
      </c>
      <c r="C55" s="39">
        <v>26302095.120000001</v>
      </c>
      <c r="D55" s="31">
        <v>20165978.030000001</v>
      </c>
      <c r="E55" s="31">
        <v>6136117.0899999999</v>
      </c>
      <c r="F55" s="32">
        <v>0.30428065928027787</v>
      </c>
      <c r="G55" s="32">
        <v>0.30428065928027787</v>
      </c>
      <c r="H55" s="32">
        <v>0.30428065928027787</v>
      </c>
      <c r="I55" s="32">
        <v>0.30428065928027787</v>
      </c>
      <c r="J55" s="33">
        <v>1.3042806592802778</v>
      </c>
      <c r="K55" s="6"/>
      <c r="L55" s="44" t="s">
        <v>14</v>
      </c>
      <c r="M55" s="39">
        <v>26371884.210000001</v>
      </c>
      <c r="N55" s="31">
        <v>26302095.120000001</v>
      </c>
      <c r="O55" s="31">
        <v>-69789.089999999851</v>
      </c>
      <c r="P55" s="32">
        <v>-2.6463444721760306E-3</v>
      </c>
      <c r="Q55" s="32">
        <v>-2.6463444721760306E-3</v>
      </c>
      <c r="R55" s="32">
        <v>-2.6463444721760306E-3</v>
      </c>
      <c r="S55" s="33">
        <v>-2.6463444721760306E-3</v>
      </c>
      <c r="T55" s="14"/>
    </row>
    <row r="56" spans="1:20" x14ac:dyDescent="0.3">
      <c r="A56" s="16"/>
      <c r="B56" s="17"/>
      <c r="C56" s="17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8"/>
    </row>
  </sheetData>
  <mergeCells count="1">
    <mergeCell ref="B2:F3"/>
  </mergeCells>
  <conditionalFormatting pivot="1" sqref="H42:H54">
    <cfRule type="dataBar" priority="15">
      <dataBar showValue="0">
        <cfvo type="num" val="-1"/>
        <cfvo type="num" val="1"/>
        <color rgb="FFFF0000"/>
      </dataBar>
      <extLst>
        <ext xmlns:x14="http://schemas.microsoft.com/office/spreadsheetml/2009/9/main" uri="{B025F937-C7B1-47D3-B67F-A62EFF666E3E}">
          <x14:id>{804CDA0A-1691-47D6-8BCC-F2FB14E946BB}</x14:id>
        </ext>
      </extLst>
    </cfRule>
  </conditionalFormatting>
  <conditionalFormatting pivot="1" sqref="R42:R55">
    <cfRule type="dataBar" priority="7">
      <dataBar showValue="0">
        <cfvo type="num" val="-1"/>
        <cfvo type="num" val="1"/>
        <color rgb="FFFF0000"/>
      </dataBar>
      <extLst>
        <ext xmlns:x14="http://schemas.microsoft.com/office/spreadsheetml/2009/9/main" uri="{B025F937-C7B1-47D3-B67F-A62EFF666E3E}">
          <x14:id>{E52177B5-9614-412E-ABB2-16AB225349C1}</x14:id>
        </ext>
      </extLst>
    </cfRule>
  </conditionalFormatting>
  <conditionalFormatting sqref="H12">
    <cfRule type="cellIs" dxfId="44" priority="3" stopIfTrue="1" operator="lessThanOrEqual">
      <formula>0</formula>
    </cfRule>
    <cfRule type="cellIs" dxfId="43" priority="4" operator="greaterThan">
      <formula>0</formula>
    </cfRule>
  </conditionalFormatting>
  <conditionalFormatting sqref="H17">
    <cfRule type="cellIs" dxfId="42" priority="1" stopIfTrue="1" operator="lessThanOrEqual">
      <formula>1</formula>
    </cfRule>
    <cfRule type="cellIs" dxfId="41" priority="2" operator="greaterThan">
      <formula>1</formula>
    </cfRule>
  </conditionalFormatting>
  <pageMargins left="0" right="0" top="0" bottom="0" header="0" footer="0"/>
  <pageSetup paperSize="9" scale="53" orientation="landscape" r:id="rId3"/>
  <drawing r:id="rId4"/>
  <extLst>
    <ext xmlns:x14="http://schemas.microsoft.com/office/spreadsheetml/2009/9/main" uri="{78C0D931-6437-407d-A8EE-F0AAD7539E65}">
      <x14:conditionalFormattings>
        <x14:conditionalFormatting xmlns:xm="http://schemas.microsoft.com/office/excel/2006/main" pivot="1">
          <x14:cfRule type="dataBar" id="{804CDA0A-1691-47D6-8BCC-F2FB14E946BB}">
            <x14:dataBar minLength="0" maxLength="100" gradient="0">
              <x14:cfvo type="num">
                <xm:f>-1</xm:f>
              </x14:cfvo>
              <x14:cfvo type="num">
                <xm:f>1</xm:f>
              </x14:cfvo>
              <x14:negativeFillColor theme="9"/>
              <x14:axisColor rgb="FF000000"/>
            </x14:dataBar>
          </x14:cfRule>
          <xm:sqref>H42:H54</xm:sqref>
        </x14:conditionalFormatting>
        <x14:conditionalFormatting xmlns:xm="http://schemas.microsoft.com/office/excel/2006/main" pivot="1">
          <x14:cfRule type="dataBar" id="{E52177B5-9614-412E-ABB2-16AB225349C1}">
            <x14:dataBar minLength="0" maxLength="100" gradient="0">
              <x14:cfvo type="num">
                <xm:f>-1</xm:f>
              </x14:cfvo>
              <x14:cfvo type="num">
                <xm:f>1</xm:f>
              </x14:cfvo>
              <x14:negativeFillColor theme="9"/>
              <x14:axisColor rgb="FF000000"/>
            </x14:dataBar>
          </x14:cfRule>
          <xm:sqref>R42:R55</xm:sqref>
        </x14:conditionalFormatting>
        <x14:conditionalFormatting xmlns:xm="http://schemas.microsoft.com/office/excel/2006/main" pivot="1">
          <x14:cfRule type="iconSet" priority="12" id="{D47CB95F-E3BB-4179-B2B5-9BCE74B2D49D}">
            <x14:iconSet iconSet="3Flags" showValue="0" custom="1">
              <x14:cfvo type="percent">
                <xm:f>0</xm:f>
              </x14:cfvo>
              <x14:cfvo type="num">
                <xm:f>0.5</xm:f>
              </x14:cfvo>
              <x14:cfvo type="num">
                <xm:f>0.5</xm:f>
              </x14:cfvo>
              <x14:cfIcon iconSet="NoIcons" iconId="0"/>
              <x14:cfIcon iconSet="NoIcons" iconId="0"/>
              <x14:cfIcon iconSet="3Flags" iconId="0"/>
            </x14:iconSet>
          </x14:cfRule>
          <xm:sqref>I42:I54</xm:sqref>
        </x14:conditionalFormatting>
        <x14:conditionalFormatting xmlns:xm="http://schemas.microsoft.com/office/excel/2006/main" pivot="1">
          <x14:cfRule type="iconSet" priority="11" id="{96B0CA01-BE55-44AE-9793-8C10347927E6}">
            <x14:iconSet iconSet="3Flags" showValue="0" custom="1">
              <x14:cfvo type="percent">
                <xm:f>0</xm:f>
              </x14:cfvo>
              <x14:cfvo type="num">
                <xm:f>-0.5</xm:f>
              </x14:cfvo>
              <x14:cfvo type="num">
                <xm:f>1</xm:f>
              </x14:cfvo>
              <x14:cfIcon iconSet="3Flags" iconId="2"/>
              <x14:cfIcon iconSet="NoIcons" iconId="0"/>
              <x14:cfIcon iconSet="NoIcons" iconId="0"/>
            </x14:iconSet>
          </x14:cfRule>
          <xm:sqref>G42:G54</xm:sqref>
        </x14:conditionalFormatting>
        <x14:conditionalFormatting xmlns:xm="http://schemas.microsoft.com/office/excel/2006/main" pivot="1">
          <x14:cfRule type="iconSet" priority="6" id="{9DB19275-9610-4817-AC4D-F3067443D1DA}">
            <x14:iconSet iconSet="3Flags" showValue="0" custom="1">
              <x14:cfvo type="percent">
                <xm:f>0</xm:f>
              </x14:cfvo>
              <x14:cfvo type="num">
                <xm:f>0.5</xm:f>
              </x14:cfvo>
              <x14:cfvo type="num">
                <xm:f>0.5</xm:f>
              </x14:cfvo>
              <x14:cfIcon iconSet="NoIcons" iconId="0"/>
              <x14:cfIcon iconSet="NoIcons" iconId="0"/>
              <x14:cfIcon iconSet="3Flags" iconId="0"/>
            </x14:iconSet>
          </x14:cfRule>
          <xm:sqref>S42:S55</xm:sqref>
        </x14:conditionalFormatting>
        <x14:conditionalFormatting xmlns:xm="http://schemas.microsoft.com/office/excel/2006/main" pivot="1">
          <x14:cfRule type="iconSet" priority="5" id="{3369AA62-4E41-45CA-A9C9-4BEA87B3D9D0}">
            <x14:iconSet iconSet="3Flags" showValue="0" custom="1">
              <x14:cfvo type="percent">
                <xm:f>0</xm:f>
              </x14:cfvo>
              <x14:cfvo type="num">
                <xm:f>-0.5</xm:f>
              </x14:cfvo>
              <x14:cfvo type="num">
                <xm:f>1</xm:f>
              </x14:cfvo>
              <x14:cfIcon iconSet="3Flags" iconId="2"/>
              <x14:cfIcon iconSet="NoIcons" iconId="0"/>
              <x14:cfIcon iconSet="NoIcons" iconId="0"/>
            </x14:iconSet>
          </x14:cfRule>
          <xm:sqref>Q42:Q55</xm:sqref>
        </x14:conditionalFormatting>
      </x14:conditionalFormattings>
    </ext>
    <ext xmlns:x14="http://schemas.microsoft.com/office/spreadsheetml/2009/9/main" uri="{A8765BA9-456A-4dab-B4F3-ACF838C121DE}">
      <x14:slicerList>
        <x14:slicer r:id="rId5"/>
      </x14:slicerList>
    </ext>
    <ext xmlns:x15="http://schemas.microsoft.com/office/spreadsheetml/2010/11/main" uri="{7E03D99C-DC04-49d9-9315-930204A7B6E9}">
      <x15:timelineRefs>
        <x15:timelineRef r:id="rId6"/>
      </x15:timelineRef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33C21D-E7E7-40F5-945C-4F8039C253D7}">
  <sheetPr>
    <pageSetUpPr fitToPage="1"/>
  </sheetPr>
  <dimension ref="B1:F17"/>
  <sheetViews>
    <sheetView showGridLines="0" zoomScale="115" zoomScaleNormal="115" workbookViewId="0">
      <selection activeCell="B28" sqref="B28"/>
    </sheetView>
  </sheetViews>
  <sheetFormatPr defaultRowHeight="14.4" x14ac:dyDescent="0.3"/>
  <cols>
    <col min="1" max="1" width="3.77734375" style="6" customWidth="1"/>
    <col min="2" max="2" width="163.77734375" style="6" customWidth="1"/>
    <col min="3" max="16384" width="8.88671875" style="6"/>
  </cols>
  <sheetData>
    <row r="1" spans="2:6" ht="13.2" customHeight="1" x14ac:dyDescent="0.3"/>
    <row r="2" spans="2:6" ht="4.8" customHeight="1" x14ac:dyDescent="0.3">
      <c r="B2" s="49"/>
    </row>
    <row r="3" spans="2:6" ht="19.2" customHeight="1" x14ac:dyDescent="0.3">
      <c r="B3" s="52" t="s">
        <v>78</v>
      </c>
      <c r="C3" s="52"/>
      <c r="D3" s="52"/>
      <c r="E3" s="52"/>
      <c r="F3" s="52"/>
    </row>
    <row r="4" spans="2:6" ht="6.6" customHeight="1" x14ac:dyDescent="0.3">
      <c r="B4" s="52" t="s">
        <v>89</v>
      </c>
      <c r="C4" s="52"/>
      <c r="D4" s="52"/>
      <c r="E4" s="52"/>
      <c r="F4" s="52"/>
    </row>
    <row r="5" spans="2:6" ht="18" x14ac:dyDescent="0.35">
      <c r="B5" s="51" t="s">
        <v>81</v>
      </c>
    </row>
    <row r="6" spans="2:6" ht="18" x14ac:dyDescent="0.35">
      <c r="B6" s="51" t="s">
        <v>82</v>
      </c>
    </row>
    <row r="7" spans="2:6" ht="18" x14ac:dyDescent="0.35">
      <c r="B7" s="51" t="s">
        <v>83</v>
      </c>
    </row>
    <row r="8" spans="2:6" ht="18" x14ac:dyDescent="0.35">
      <c r="B8" s="51" t="s">
        <v>79</v>
      </c>
    </row>
    <row r="9" spans="2:6" ht="7.2" customHeight="1" x14ac:dyDescent="0.35">
      <c r="B9" s="50"/>
    </row>
    <row r="10" spans="2:6" ht="18.600000000000001" customHeight="1" x14ac:dyDescent="0.35">
      <c r="B10" s="50"/>
    </row>
    <row r="11" spans="2:6" ht="18.600000000000001" customHeight="1" x14ac:dyDescent="0.3">
      <c r="B11" s="52" t="s">
        <v>80</v>
      </c>
      <c r="C11" s="52"/>
      <c r="D11" s="52"/>
      <c r="E11" s="52"/>
      <c r="F11" s="52"/>
    </row>
    <row r="12" spans="2:6" ht="7.8" customHeight="1" x14ac:dyDescent="0.3">
      <c r="B12" s="52" t="s">
        <v>84</v>
      </c>
      <c r="C12" s="52"/>
      <c r="D12" s="52"/>
      <c r="E12" s="52"/>
      <c r="F12" s="52"/>
    </row>
    <row r="13" spans="2:6" ht="18" x14ac:dyDescent="0.35">
      <c r="B13" s="51" t="s">
        <v>85</v>
      </c>
    </row>
    <row r="14" spans="2:6" ht="18" x14ac:dyDescent="0.35">
      <c r="B14" s="51" t="s">
        <v>86</v>
      </c>
    </row>
    <row r="15" spans="2:6" ht="18" x14ac:dyDescent="0.35">
      <c r="B15" s="51" t="s">
        <v>87</v>
      </c>
    </row>
    <row r="16" spans="2:6" ht="18" x14ac:dyDescent="0.35">
      <c r="B16" s="51" t="s">
        <v>88</v>
      </c>
    </row>
    <row r="17" spans="2:2" ht="6" customHeight="1" x14ac:dyDescent="0.3">
      <c r="B17" s="49"/>
    </row>
  </sheetData>
  <mergeCells count="2">
    <mergeCell ref="B3:F4"/>
    <mergeCell ref="B11:F12"/>
  </mergeCells>
  <pageMargins left="0.7" right="0.7" top="0.75" bottom="0.75" header="0.3" footer="0.3"/>
  <pageSetup paperSize="9" scale="64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603CCC-8812-4718-A3D8-CF50F4F1C6D3}">
  <dimension ref="A1:D63"/>
  <sheetViews>
    <sheetView topLeftCell="A31" workbookViewId="0">
      <selection activeCell="C53" sqref="C53"/>
    </sheetView>
  </sheetViews>
  <sheetFormatPr defaultRowHeight="14.4" x14ac:dyDescent="0.3"/>
  <cols>
    <col min="1" max="1" width="24.109375" bestFit="1" customWidth="1"/>
    <col min="2" max="2" width="23.88671875" bestFit="1" customWidth="1"/>
    <col min="3" max="3" width="21.109375" bestFit="1" customWidth="1"/>
    <col min="4" max="26" width="24.109375" bestFit="1" customWidth="1"/>
    <col min="27" max="27" width="31.109375" bestFit="1" customWidth="1"/>
    <col min="28" max="28" width="30.77734375" bestFit="1" customWidth="1"/>
    <col min="29" max="36" width="17.21875" bestFit="1" customWidth="1"/>
    <col min="37" max="38" width="22.21875" bestFit="1" customWidth="1"/>
    <col min="39" max="39" width="22.6640625" bestFit="1" customWidth="1"/>
  </cols>
  <sheetData>
    <row r="1" spans="1:4" x14ac:dyDescent="0.3">
      <c r="A1" t="s">
        <v>27</v>
      </c>
      <c r="B1" t="s">
        <v>28</v>
      </c>
      <c r="C1" t="s">
        <v>29</v>
      </c>
      <c r="D1" t="s">
        <v>30</v>
      </c>
    </row>
    <row r="2" spans="1:4" x14ac:dyDescent="0.3">
      <c r="A2" s="3">
        <v>26302095.120000001</v>
      </c>
      <c r="B2" s="3">
        <v>20165978.030000001</v>
      </c>
      <c r="C2" s="3">
        <v>6136117.0899999999</v>
      </c>
      <c r="D2" s="4">
        <v>1.3042806592802778</v>
      </c>
    </row>
    <row r="4" spans="1:4" x14ac:dyDescent="0.3">
      <c r="A4" s="1" t="s">
        <v>0</v>
      </c>
      <c r="B4" t="s">
        <v>40</v>
      </c>
      <c r="C4" t="s">
        <v>27</v>
      </c>
      <c r="D4" t="s">
        <v>28</v>
      </c>
    </row>
    <row r="5" spans="1:4" x14ac:dyDescent="0.3">
      <c r="A5" s="2" t="s">
        <v>25</v>
      </c>
      <c r="B5" s="3">
        <v>1638273.96</v>
      </c>
      <c r="C5" s="3">
        <v>1828872.78</v>
      </c>
      <c r="D5" s="3">
        <v>2063524.38</v>
      </c>
    </row>
    <row r="6" spans="1:4" x14ac:dyDescent="0.3">
      <c r="A6" s="2" t="s">
        <v>20</v>
      </c>
      <c r="B6" s="3">
        <v>1776235.62</v>
      </c>
      <c r="C6" s="3">
        <v>2238487.2000000002</v>
      </c>
      <c r="D6" s="3">
        <v>1596949.35</v>
      </c>
    </row>
    <row r="7" spans="1:4" x14ac:dyDescent="0.3">
      <c r="A7" s="2" t="s">
        <v>22</v>
      </c>
      <c r="B7" s="3">
        <v>1916246.08</v>
      </c>
      <c r="C7" s="3">
        <v>2571371.66</v>
      </c>
      <c r="D7" s="3">
        <v>1817333.15</v>
      </c>
    </row>
    <row r="8" spans="1:4" x14ac:dyDescent="0.3">
      <c r="A8" s="2" t="s">
        <v>17</v>
      </c>
      <c r="B8" s="3">
        <v>1683972.4</v>
      </c>
      <c r="C8" s="3">
        <v>2239993.4300000002</v>
      </c>
      <c r="D8" s="3">
        <v>1482206.56</v>
      </c>
    </row>
    <row r="9" spans="1:4" x14ac:dyDescent="0.3">
      <c r="A9" s="2" t="s">
        <v>21</v>
      </c>
      <c r="B9" s="3">
        <v>1876250.29</v>
      </c>
      <c r="C9" s="3">
        <v>1958442.9</v>
      </c>
      <c r="D9" s="3">
        <v>1851983.08</v>
      </c>
    </row>
    <row r="10" spans="1:4" x14ac:dyDescent="0.3">
      <c r="A10" s="2" t="s">
        <v>15</v>
      </c>
      <c r="B10" s="3">
        <v>2562682.41</v>
      </c>
      <c r="C10" s="3">
        <v>2701859.17</v>
      </c>
      <c r="D10" s="3">
        <v>1917762.01</v>
      </c>
    </row>
    <row r="11" spans="1:4" x14ac:dyDescent="0.3">
      <c r="A11" s="2" t="s">
        <v>18</v>
      </c>
      <c r="B11" s="3">
        <v>2042643.18</v>
      </c>
      <c r="C11" s="3">
        <v>2107372.33</v>
      </c>
      <c r="D11" s="3">
        <v>2236711.41</v>
      </c>
    </row>
    <row r="12" spans="1:4" x14ac:dyDescent="0.3">
      <c r="A12" s="2" t="s">
        <v>24</v>
      </c>
      <c r="B12" s="3">
        <v>1780412.92</v>
      </c>
      <c r="C12" s="3">
        <v>2011962.05</v>
      </c>
      <c r="D12" s="3">
        <v>1613140.56</v>
      </c>
    </row>
    <row r="13" spans="1:4" x14ac:dyDescent="0.3">
      <c r="A13" s="2" t="s">
        <v>26</v>
      </c>
      <c r="B13" s="3">
        <v>1784256.02</v>
      </c>
      <c r="C13" s="3">
        <v>1604317.18</v>
      </c>
      <c r="D13" s="3">
        <v>1517509.62</v>
      </c>
    </row>
    <row r="14" spans="1:4" x14ac:dyDescent="0.3">
      <c r="A14" s="2" t="s">
        <v>23</v>
      </c>
      <c r="B14" s="3">
        <v>1993314.98</v>
      </c>
      <c r="C14" s="3">
        <v>2317615.9300000002</v>
      </c>
      <c r="D14" s="3">
        <v>1402277.06</v>
      </c>
    </row>
    <row r="15" spans="1:4" x14ac:dyDescent="0.3">
      <c r="A15" s="2" t="s">
        <v>19</v>
      </c>
      <c r="B15" s="3">
        <v>1867084.72</v>
      </c>
      <c r="C15" s="3">
        <v>2084292.77</v>
      </c>
      <c r="D15" s="3">
        <v>1371954.06</v>
      </c>
    </row>
    <row r="16" spans="1:4" x14ac:dyDescent="0.3">
      <c r="A16" s="2" t="s">
        <v>16</v>
      </c>
      <c r="B16" s="3">
        <v>5450511.6299999999</v>
      </c>
      <c r="C16" s="3">
        <v>2637507.7200000002</v>
      </c>
      <c r="D16" s="3">
        <v>1294626.79</v>
      </c>
    </row>
    <row r="17" spans="1:4" x14ac:dyDescent="0.3">
      <c r="A17" s="2" t="s">
        <v>14</v>
      </c>
      <c r="B17" s="3">
        <v>26371884.210000001</v>
      </c>
      <c r="C17" s="3">
        <v>26302095.120000001</v>
      </c>
      <c r="D17" s="3">
        <v>20165978.030000001</v>
      </c>
    </row>
    <row r="19" spans="1:4" x14ac:dyDescent="0.3">
      <c r="A19" s="1" t="s">
        <v>0</v>
      </c>
      <c r="B19" t="s">
        <v>29</v>
      </c>
    </row>
    <row r="20" spans="1:4" x14ac:dyDescent="0.3">
      <c r="A20" s="2" t="s">
        <v>3</v>
      </c>
      <c r="B20" s="3">
        <v>-1783501.58</v>
      </c>
    </row>
    <row r="21" spans="1:4" x14ac:dyDescent="0.3">
      <c r="A21" s="2" t="s">
        <v>6</v>
      </c>
      <c r="B21" s="3">
        <v>3441.36</v>
      </c>
    </row>
    <row r="22" spans="1:4" x14ac:dyDescent="0.3">
      <c r="A22" s="2" t="s">
        <v>4</v>
      </c>
      <c r="B22" s="3">
        <v>33385.21</v>
      </c>
    </row>
    <row r="23" spans="1:4" x14ac:dyDescent="0.3">
      <c r="A23" s="2" t="s">
        <v>7</v>
      </c>
      <c r="B23" s="3">
        <v>34878.989999999991</v>
      </c>
    </row>
    <row r="24" spans="1:4" x14ac:dyDescent="0.3">
      <c r="A24" s="2" t="s">
        <v>2</v>
      </c>
      <c r="B24" s="3">
        <v>150868.04</v>
      </c>
    </row>
    <row r="25" spans="1:4" x14ac:dyDescent="0.3">
      <c r="A25" s="2" t="s">
        <v>8</v>
      </c>
      <c r="B25" s="3">
        <v>166953.97999999998</v>
      </c>
    </row>
    <row r="26" spans="1:4" x14ac:dyDescent="0.3">
      <c r="A26" s="2" t="s">
        <v>9</v>
      </c>
      <c r="B26" s="3">
        <v>168526.89</v>
      </c>
    </row>
    <row r="27" spans="1:4" x14ac:dyDescent="0.3">
      <c r="A27" s="2" t="s">
        <v>11</v>
      </c>
      <c r="B27" s="3">
        <v>175740.41000000015</v>
      </c>
    </row>
    <row r="28" spans="1:4" x14ac:dyDescent="0.3">
      <c r="A28" s="2" t="s">
        <v>12</v>
      </c>
      <c r="B28" s="3">
        <v>193443.3</v>
      </c>
    </row>
    <row r="29" spans="1:4" x14ac:dyDescent="0.3">
      <c r="A29" s="2" t="s">
        <v>10</v>
      </c>
      <c r="B29" s="3">
        <v>341096.10000000009</v>
      </c>
    </row>
    <row r="30" spans="1:4" x14ac:dyDescent="0.3">
      <c r="A30" s="2" t="s">
        <v>5</v>
      </c>
      <c r="B30" s="3">
        <v>421266.64999999997</v>
      </c>
    </row>
    <row r="31" spans="1:4" x14ac:dyDescent="0.3">
      <c r="A31" s="2" t="s">
        <v>1</v>
      </c>
      <c r="B31" s="3">
        <v>2497132.1100000013</v>
      </c>
    </row>
    <row r="32" spans="1:4" x14ac:dyDescent="0.3">
      <c r="A32" s="2" t="s">
        <v>13</v>
      </c>
      <c r="B32" s="3">
        <v>3732885.6300000004</v>
      </c>
    </row>
    <row r="33" spans="1:3" x14ac:dyDescent="0.3">
      <c r="A33" s="2" t="s">
        <v>14</v>
      </c>
      <c r="B33" s="3">
        <v>6136117.0899999999</v>
      </c>
    </row>
    <row r="35" spans="1:3" x14ac:dyDescent="0.3">
      <c r="A35" t="s">
        <v>0</v>
      </c>
      <c r="B35" t="s">
        <v>27</v>
      </c>
    </row>
    <row r="36" spans="1:3" x14ac:dyDescent="0.3">
      <c r="A36" s="2" t="s">
        <v>36</v>
      </c>
      <c r="B36" s="3">
        <v>69478.77</v>
      </c>
    </row>
    <row r="37" spans="1:3" x14ac:dyDescent="0.3">
      <c r="A37" s="2" t="s">
        <v>38</v>
      </c>
      <c r="B37" s="3">
        <v>340549.96</v>
      </c>
    </row>
    <row r="38" spans="1:3" x14ac:dyDescent="0.3">
      <c r="A38" s="2" t="s">
        <v>35</v>
      </c>
      <c r="B38" s="3">
        <v>1305488.1499999999</v>
      </c>
    </row>
    <row r="39" spans="1:3" x14ac:dyDescent="0.3">
      <c r="A39" s="2" t="s">
        <v>34</v>
      </c>
      <c r="B39" s="3">
        <v>1876058.8</v>
      </c>
    </row>
    <row r="40" spans="1:3" x14ac:dyDescent="0.3">
      <c r="A40" s="2" t="s">
        <v>37</v>
      </c>
      <c r="B40" s="3">
        <v>2719304.51</v>
      </c>
    </row>
    <row r="41" spans="1:3" x14ac:dyDescent="0.3">
      <c r="A41" s="2" t="s">
        <v>32</v>
      </c>
      <c r="B41" s="3">
        <v>4035050.13</v>
      </c>
    </row>
    <row r="42" spans="1:3" x14ac:dyDescent="0.3">
      <c r="A42" s="2" t="s">
        <v>31</v>
      </c>
      <c r="B42" s="3">
        <v>4492889.59</v>
      </c>
    </row>
    <row r="43" spans="1:3" x14ac:dyDescent="0.3">
      <c r="A43" s="2" t="s">
        <v>33</v>
      </c>
      <c r="B43" s="3">
        <v>11463275.210000001</v>
      </c>
    </row>
    <row r="44" spans="1:3" x14ac:dyDescent="0.3">
      <c r="A44" s="2" t="s">
        <v>14</v>
      </c>
      <c r="B44">
        <v>26302095.120000001</v>
      </c>
    </row>
    <row r="46" spans="1:3" x14ac:dyDescent="0.3">
      <c r="A46" s="1" t="s">
        <v>0</v>
      </c>
      <c r="B46" t="s">
        <v>64</v>
      </c>
      <c r="C46" t="s">
        <v>63</v>
      </c>
    </row>
    <row r="47" spans="1:3" x14ac:dyDescent="0.3">
      <c r="A47" s="2" t="s">
        <v>51</v>
      </c>
      <c r="B47" s="3">
        <v>1828872.78</v>
      </c>
      <c r="C47" s="3">
        <v>2063524.38</v>
      </c>
    </row>
    <row r="48" spans="1:3" x14ac:dyDescent="0.3">
      <c r="A48" s="2" t="s">
        <v>52</v>
      </c>
      <c r="B48" s="3">
        <v>4067359.9800000004</v>
      </c>
      <c r="C48" s="3">
        <v>3660473.73</v>
      </c>
    </row>
    <row r="49" spans="1:3" x14ac:dyDescent="0.3">
      <c r="A49" s="2" t="s">
        <v>53</v>
      </c>
      <c r="B49" s="3">
        <v>6638731.6400000006</v>
      </c>
      <c r="C49" s="3">
        <v>5477806.8799999999</v>
      </c>
    </row>
    <row r="50" spans="1:3" x14ac:dyDescent="0.3">
      <c r="A50" s="2" t="s">
        <v>54</v>
      </c>
      <c r="B50" s="3">
        <v>8878725.0700000003</v>
      </c>
      <c r="C50" s="3">
        <v>6960013.4399999995</v>
      </c>
    </row>
    <row r="51" spans="1:3" x14ac:dyDescent="0.3">
      <c r="A51" s="2" t="s">
        <v>55</v>
      </c>
      <c r="B51" s="3">
        <v>10837167.970000001</v>
      </c>
      <c r="C51" s="3">
        <v>8811996.5199999996</v>
      </c>
    </row>
    <row r="52" spans="1:3" x14ac:dyDescent="0.3">
      <c r="A52" s="2" t="s">
        <v>56</v>
      </c>
      <c r="B52" s="3">
        <v>13539027.140000001</v>
      </c>
      <c r="C52" s="3">
        <v>10729758.529999999</v>
      </c>
    </row>
    <row r="53" spans="1:3" x14ac:dyDescent="0.3">
      <c r="A53" s="2" t="s">
        <v>57</v>
      </c>
      <c r="B53" s="3">
        <v>15646399.470000001</v>
      </c>
      <c r="C53" s="3">
        <v>12966469.939999999</v>
      </c>
    </row>
    <row r="54" spans="1:3" x14ac:dyDescent="0.3">
      <c r="A54" s="2" t="s">
        <v>58</v>
      </c>
      <c r="B54" s="3">
        <v>17658361.52</v>
      </c>
      <c r="C54" s="3">
        <v>14579610.5</v>
      </c>
    </row>
    <row r="55" spans="1:3" x14ac:dyDescent="0.3">
      <c r="A55" s="2" t="s">
        <v>59</v>
      </c>
      <c r="B55" s="3">
        <v>19262678.699999999</v>
      </c>
      <c r="C55" s="3">
        <v>16097120.120000001</v>
      </c>
    </row>
    <row r="56" spans="1:3" x14ac:dyDescent="0.3">
      <c r="A56" s="2" t="s">
        <v>60</v>
      </c>
      <c r="B56" s="3">
        <v>21580294.629999999</v>
      </c>
      <c r="C56" s="3">
        <v>17499397.18</v>
      </c>
    </row>
    <row r="57" spans="1:3" x14ac:dyDescent="0.3">
      <c r="A57" s="2" t="s">
        <v>61</v>
      </c>
      <c r="B57" s="3">
        <v>23664587.399999999</v>
      </c>
      <c r="C57" s="3">
        <v>18871351.239999998</v>
      </c>
    </row>
    <row r="58" spans="1:3" x14ac:dyDescent="0.3">
      <c r="A58" s="2" t="s">
        <v>62</v>
      </c>
      <c r="B58" s="3">
        <v>26302095.119999997</v>
      </c>
      <c r="C58" s="3">
        <v>20165978.029999997</v>
      </c>
    </row>
    <row r="59" spans="1:3" x14ac:dyDescent="0.3">
      <c r="A59" s="2" t="s">
        <v>14</v>
      </c>
      <c r="B59" s="3">
        <v>26302095.120000001</v>
      </c>
      <c r="C59" s="3">
        <v>20165978.030000001</v>
      </c>
    </row>
    <row r="61" spans="1:3" x14ac:dyDescent="0.3">
      <c r="A61" t="s">
        <v>68</v>
      </c>
      <c r="B61" t="s">
        <v>69</v>
      </c>
      <c r="C61" t="s">
        <v>70</v>
      </c>
    </row>
    <row r="62" spans="1:3" x14ac:dyDescent="0.3">
      <c r="A62" s="3">
        <v>3732885.6300000004</v>
      </c>
      <c r="B62" s="3">
        <v>-1783501.58</v>
      </c>
      <c r="C62" s="3">
        <v>11463275.210000001</v>
      </c>
    </row>
    <row r="63" spans="1:3" x14ac:dyDescent="0.3">
      <c r="A63" t="str">
        <f>_xlfn.XLOOKUP(GETPIVOTDATA("[Measures].[M15.Max Odchylenie MPK]",$A$61),B20:B32,A20:A32,"Brak",0,1)</f>
        <v>521 Zarząd</v>
      </c>
      <c r="B63" t="str">
        <f>_xlfn.XLOOKUP(GETPIVOTDATA("[Measures].[M16.Min Odchylenie MPK]",$A$61),B20:B32,A20:A32,"Brak",0,1)</f>
        <v>303 Zakład nr 3</v>
      </c>
      <c r="C63" t="str">
        <f>_xlfn.XLOOKUP(GETPIVOTDATA("[Measures].[M17.Max Koszty Grupa]",$A$61),B36:B43,A36:A43,"Brak",0,1)</f>
        <v>03 Usługi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_rels/item2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.xml"/></Relationships>
</file>

<file path=customXml/_rels/item2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4.xml"/></Relationships>
</file>

<file path=customXml/_rels/item2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5.xml"/></Relationships>
</file>

<file path=customXml/_rels/item2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6.xml"/></Relationships>
</file>

<file path=customXml/_rels/item2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7.xml"/></Relationships>
</file>

<file path=customXml/_rels/item2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8.xml"/></Relationships>
</file>

<file path=customXml/_rels/item2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9.xml"/></Relationships>
</file>

<file path=customXml/_rels/item3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0.xml"/></Relationships>
</file>

<file path=customXml/_rels/item3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1.xml"/></Relationships>
</file>

<file path=customXml/_rels/item3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2.xml"/></Relationships>
</file>

<file path=customXml/_rels/item3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3.xml"/></Relationships>
</file>

<file path=customXml/item1.xml>��||||||
</file>

<file path=customXml/item2.xml>��||||||
</file>

<file path=customXml/item3.xml>��||||||
</file>

<file path=customXml/item4.xml>��
</file>

<file path=customXml/item5.xml>��||||
</file>

<file path=customXml/item6.xml>��
</file>

<file path=customXml/item7.xml>��||||
</file>

<file path=customXml/item8.xml>��
</file>

<file path=customXml/item9.xml>��||||
</file>

<file path=customXml/item10.xml>��|
</file>

<file path=customXml/item11.xml>��
</file>

<file path=customXml/item12.xml>��BB
</file>

<file path=customXml/item13.xml>��||||||
</file>

<file path=customXml/item14.xml>��||||||
</file>

<file path=customXml/item15.xml>��
</file>

<file path=customXml/item16.xml>��|||||||||||||||B|||||||||||||||||||||||B|DD||||DD|||DDDDB[B[B[B[B[B[B[B[B[B[B[B[B[B[BB||B[||B|[B[B[||B|[B[B[B[||B|[B[B[B[|B[||B|[B[B[||B|[B[B[B[||B|[B[B[B[|
</file>

<file path=customXml/item17.xml>��|
</file>

<file path=customXml/item18.xml>��
</file>

<file path=customXml/item19.xml>��
</file>

<file path=customXml/item20.xml>��B|||
</file>

<file path=customXml/item21.xml>��
</file>

<file path=customXml/item22.xml>��|
</file>

<file path=customXml/item23.xml>��
</file>

<file path=customXml/item24.xml>��||||
</file>

<file path=customXml/item25.xml>��||||
</file>

<file path=customXml/item26.xml>��||||||
</file>

<file path=customXml/item27.xml>��
</file>

<file path=customXml/item28.xml>��
</file>

<file path=customXml/item29.xml>��
</file>

<file path=customXml/item30.xml>��||||||
</file>

<file path=customXml/item31.xml>��|||
</file>

<file path=customXml/item32.xml>��||||
</file>

<file path=customXml/item33.xml>��
</file>

<file path=customXml/itemProps1.xml><?xml version="1.0" encoding="utf-8"?>
<ds:datastoreItem xmlns:ds="http://schemas.openxmlformats.org/officeDocument/2006/customXml" ds:itemID="{6E8DFCAC-94D7-45FF-84EB-E960CD8B60D5}">
  <ds:schemaRefs/>
</ds:datastoreItem>
</file>

<file path=customXml/itemProps2.xml><?xml version="1.0" encoding="utf-8"?>
<ds:datastoreItem xmlns:ds="http://schemas.openxmlformats.org/officeDocument/2006/customXml" ds:itemID="{0D9C42F4-CC64-45C7-A7B9-FD32106A120F}">
  <ds:schemaRefs/>
</ds:datastoreItem>
</file>

<file path=customXml/itemProps3.xml><?xml version="1.0" encoding="utf-8"?>
<ds:datastoreItem xmlns:ds="http://schemas.openxmlformats.org/officeDocument/2006/customXml" ds:itemID="{9C182CC1-FFE1-4580-B9F8-5B62569B9A18}">
  <ds:schemaRefs/>
</ds:datastoreItem>
</file>

<file path=customXml/itemProps4.xml><?xml version="1.0" encoding="utf-8"?>
<ds:datastoreItem xmlns:ds="http://schemas.openxmlformats.org/officeDocument/2006/customXml" ds:itemID="{A71295A8-A560-45F5-9E0E-27A13CF0D730}">
  <ds:schemaRefs/>
</ds:datastoreItem>
</file>

<file path=customXml/itemProps5.xml><?xml version="1.0" encoding="utf-8"?>
<ds:datastoreItem xmlns:ds="http://schemas.openxmlformats.org/officeDocument/2006/customXml" ds:itemID="{CE128702-FC2D-4AC1-BC5C-403322C9B0B1}">
  <ds:schemaRefs/>
</ds:datastoreItem>
</file>

<file path=customXml/itemProps6.xml><?xml version="1.0" encoding="utf-8"?>
<ds:datastoreItem xmlns:ds="http://schemas.openxmlformats.org/officeDocument/2006/customXml" ds:itemID="{F32E7B22-C13B-4EB0-B09A-B56FC17CA882}">
  <ds:schemaRefs/>
</ds:datastoreItem>
</file>

<file path=customXml/itemProps7.xml><?xml version="1.0" encoding="utf-8"?>
<ds:datastoreItem xmlns:ds="http://schemas.openxmlformats.org/officeDocument/2006/customXml" ds:itemID="{88C0BDB0-518A-42B5-B09C-41A0BDCB8C2A}">
  <ds:schemaRefs/>
</ds:datastoreItem>
</file>

<file path=customXml/itemProps8.xml><?xml version="1.0" encoding="utf-8"?>
<ds:datastoreItem xmlns:ds="http://schemas.openxmlformats.org/officeDocument/2006/customXml" ds:itemID="{D17FD00F-1A76-46BA-8412-D80054071553}">
  <ds:schemaRefs/>
</ds:datastoreItem>
</file>

<file path=customXml/itemProps9.xml><?xml version="1.0" encoding="utf-8"?>
<ds:datastoreItem xmlns:ds="http://schemas.openxmlformats.org/officeDocument/2006/customXml" ds:itemID="{FAA44F89-143E-41ED-8033-3F3D62A412D3}">
  <ds:schemaRefs/>
</ds:datastoreItem>
</file>

<file path=customXml/itemProps10.xml><?xml version="1.0" encoding="utf-8"?>
<ds:datastoreItem xmlns:ds="http://schemas.openxmlformats.org/officeDocument/2006/customXml" ds:itemID="{B85CC5E3-1C3D-41C8-8BDB-04055D4D4F20}">
  <ds:schemaRefs/>
</ds:datastoreItem>
</file>

<file path=customXml/itemProps11.xml><?xml version="1.0" encoding="utf-8"?>
<ds:datastoreItem xmlns:ds="http://schemas.openxmlformats.org/officeDocument/2006/customXml" ds:itemID="{BE77ABB6-E903-45FC-9455-4F1775E4563D}">
  <ds:schemaRefs/>
</ds:datastoreItem>
</file>

<file path=customXml/itemProps12.xml><?xml version="1.0" encoding="utf-8"?>
<ds:datastoreItem xmlns:ds="http://schemas.openxmlformats.org/officeDocument/2006/customXml" ds:itemID="{1EA6DB8F-3AE8-4C10-B070-CFFF1E2EF62B}">
  <ds:schemaRefs/>
</ds:datastoreItem>
</file>

<file path=customXml/itemProps13.xml><?xml version="1.0" encoding="utf-8"?>
<ds:datastoreItem xmlns:ds="http://schemas.openxmlformats.org/officeDocument/2006/customXml" ds:itemID="{AA536439-DE8F-447A-A8FA-EB5ABE6E9943}">
  <ds:schemaRefs/>
</ds:datastoreItem>
</file>

<file path=customXml/itemProps14.xml><?xml version="1.0" encoding="utf-8"?>
<ds:datastoreItem xmlns:ds="http://schemas.openxmlformats.org/officeDocument/2006/customXml" ds:itemID="{A88ADA28-1516-43B5-B2EC-12CFBC586CB7}">
  <ds:schemaRefs/>
</ds:datastoreItem>
</file>

<file path=customXml/itemProps15.xml><?xml version="1.0" encoding="utf-8"?>
<ds:datastoreItem xmlns:ds="http://schemas.openxmlformats.org/officeDocument/2006/customXml" ds:itemID="{4B8F7310-9A09-4075-B371-345FB920BBD8}">
  <ds:schemaRefs/>
</ds:datastoreItem>
</file>

<file path=customXml/itemProps16.xml><?xml version="1.0" encoding="utf-8"?>
<ds:datastoreItem xmlns:ds="http://schemas.openxmlformats.org/officeDocument/2006/customXml" ds:itemID="{1B5A3E94-FFBA-479C-9CC7-49625C8872B9}">
  <ds:schemaRefs/>
</ds:datastoreItem>
</file>

<file path=customXml/itemProps17.xml><?xml version="1.0" encoding="utf-8"?>
<ds:datastoreItem xmlns:ds="http://schemas.openxmlformats.org/officeDocument/2006/customXml" ds:itemID="{AAA23F9A-7770-44BD-9772-5CBAD0D053A1}">
  <ds:schemaRefs/>
</ds:datastoreItem>
</file>

<file path=customXml/itemProps18.xml><?xml version="1.0" encoding="utf-8"?>
<ds:datastoreItem xmlns:ds="http://schemas.openxmlformats.org/officeDocument/2006/customXml" ds:itemID="{6820C8A3-6A32-40F2-912C-ACE797002B39}">
  <ds:schemaRefs/>
</ds:datastoreItem>
</file>

<file path=customXml/itemProps19.xml><?xml version="1.0" encoding="utf-8"?>
<ds:datastoreItem xmlns:ds="http://schemas.openxmlformats.org/officeDocument/2006/customXml" ds:itemID="{C38FAC4B-E9A9-4025-919D-33CB62387BD8}">
  <ds:schemaRefs/>
</ds:datastoreItem>
</file>

<file path=customXml/itemProps20.xml><?xml version="1.0" encoding="utf-8"?>
<ds:datastoreItem xmlns:ds="http://schemas.openxmlformats.org/officeDocument/2006/customXml" ds:itemID="{0F027079-2051-4F97-97D5-2BAEFFD93363}">
  <ds:schemaRefs/>
</ds:datastoreItem>
</file>

<file path=customXml/itemProps21.xml><?xml version="1.0" encoding="utf-8"?>
<ds:datastoreItem xmlns:ds="http://schemas.openxmlformats.org/officeDocument/2006/customXml" ds:itemID="{1E3DFA8F-C7BB-488C-A1C7-57731982D5E9}">
  <ds:schemaRefs>
    <ds:schemaRef ds:uri="http://schemas.microsoft.com/DataMashup"/>
  </ds:schemaRefs>
</ds:datastoreItem>
</file>

<file path=customXml/itemProps22.xml><?xml version="1.0" encoding="utf-8"?>
<ds:datastoreItem xmlns:ds="http://schemas.openxmlformats.org/officeDocument/2006/customXml" ds:itemID="{DBC561C7-4E32-41C6-8A4C-C1E326C68C6F}">
  <ds:schemaRefs/>
</ds:datastoreItem>
</file>

<file path=customXml/itemProps23.xml><?xml version="1.0" encoding="utf-8"?>
<ds:datastoreItem xmlns:ds="http://schemas.openxmlformats.org/officeDocument/2006/customXml" ds:itemID="{A949CF15-199B-41EB-88B1-2E75507FC19F}">
  <ds:schemaRefs/>
</ds:datastoreItem>
</file>

<file path=customXml/itemProps24.xml><?xml version="1.0" encoding="utf-8"?>
<ds:datastoreItem xmlns:ds="http://schemas.openxmlformats.org/officeDocument/2006/customXml" ds:itemID="{9BBAA9BE-6348-4186-A1EC-F2F1F30CE296}">
  <ds:schemaRefs/>
</ds:datastoreItem>
</file>

<file path=customXml/itemProps25.xml><?xml version="1.0" encoding="utf-8"?>
<ds:datastoreItem xmlns:ds="http://schemas.openxmlformats.org/officeDocument/2006/customXml" ds:itemID="{B007D68A-884B-4044-863E-C33D6D978C3A}">
  <ds:schemaRefs/>
</ds:datastoreItem>
</file>

<file path=customXml/itemProps26.xml><?xml version="1.0" encoding="utf-8"?>
<ds:datastoreItem xmlns:ds="http://schemas.openxmlformats.org/officeDocument/2006/customXml" ds:itemID="{9FB22698-4A02-497D-92DA-B2D73626503C}">
  <ds:schemaRefs/>
</ds:datastoreItem>
</file>

<file path=customXml/itemProps27.xml><?xml version="1.0" encoding="utf-8"?>
<ds:datastoreItem xmlns:ds="http://schemas.openxmlformats.org/officeDocument/2006/customXml" ds:itemID="{69716193-A169-4C0B-8933-9E9D152218ED}">
  <ds:schemaRefs/>
</ds:datastoreItem>
</file>

<file path=customXml/itemProps28.xml><?xml version="1.0" encoding="utf-8"?>
<ds:datastoreItem xmlns:ds="http://schemas.openxmlformats.org/officeDocument/2006/customXml" ds:itemID="{683F3AAE-FE94-4DC7-848B-36A61AB05C8E}">
  <ds:schemaRefs/>
</ds:datastoreItem>
</file>

<file path=customXml/itemProps29.xml><?xml version="1.0" encoding="utf-8"?>
<ds:datastoreItem xmlns:ds="http://schemas.openxmlformats.org/officeDocument/2006/customXml" ds:itemID="{7E779AEE-7C23-4A96-8EF5-9828E2C3E48B}">
  <ds:schemaRefs/>
</ds:datastoreItem>
</file>

<file path=customXml/itemProps30.xml><?xml version="1.0" encoding="utf-8"?>
<ds:datastoreItem xmlns:ds="http://schemas.openxmlformats.org/officeDocument/2006/customXml" ds:itemID="{3A09237A-11DF-4957-8ED3-AA07EEA310B5}">
  <ds:schemaRefs/>
</ds:datastoreItem>
</file>

<file path=customXml/itemProps31.xml><?xml version="1.0" encoding="utf-8"?>
<ds:datastoreItem xmlns:ds="http://schemas.openxmlformats.org/officeDocument/2006/customXml" ds:itemID="{37704C33-1C2B-41EF-929E-ACE6A94CC13E}">
  <ds:schemaRefs/>
</ds:datastoreItem>
</file>

<file path=customXml/itemProps32.xml><?xml version="1.0" encoding="utf-8"?>
<ds:datastoreItem xmlns:ds="http://schemas.openxmlformats.org/officeDocument/2006/customXml" ds:itemID="{0A4C477B-F94E-4F15-BAE1-C729CF11A24F}">
  <ds:schemaRefs/>
</ds:datastoreItem>
</file>

<file path=customXml/itemProps33.xml><?xml version="1.0" encoding="utf-8"?>
<ds:datastoreItem xmlns:ds="http://schemas.openxmlformats.org/officeDocument/2006/customXml" ds:itemID="{1E0D0A0D-0FC7-4119-B38C-4C176516AF80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3</vt:i4>
      </vt:variant>
    </vt:vector>
  </HeadingPairs>
  <TitlesOfParts>
    <vt:vector size="3" baseType="lpstr">
      <vt:lpstr>Dashbord</vt:lpstr>
      <vt:lpstr>Wnioski</vt:lpstr>
      <vt:lpstr>Pomocniczy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Joanna Sulikowska</dc:creator>
  <cp:lastModifiedBy>Joanna Sulikowska</cp:lastModifiedBy>
  <cp:lastPrinted>2026-06-06T18:45:39Z</cp:lastPrinted>
  <dcterms:created xsi:type="dcterms:W3CDTF">2015-06-05T18:19:34Z</dcterms:created>
  <dcterms:modified xsi:type="dcterms:W3CDTF">2026-07-06T20:20:33Z</dcterms:modified>
</cp:coreProperties>
</file>